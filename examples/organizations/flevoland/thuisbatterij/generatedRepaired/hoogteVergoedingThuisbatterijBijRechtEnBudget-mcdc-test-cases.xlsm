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ictubeheer-my.sharepoint.com/personal/pieter_thoen_ictu_nl/Documents/Documenten/Gitlab/cpsv-editor/examples/organizations/flevoland/thuisbatterij/generatedRepaired/"/>
    </mc:Choice>
  </mc:AlternateContent>
  <xr:revisionPtr revIDLastSave="944" documentId="8_{ACC4DE5D-14E7-4897-ADC7-E6E60D32B9B5}" xr6:coauthVersionLast="47" xr6:coauthVersionMax="47" xr10:uidLastSave="{765A1CC5-C972-4DA3-B7FA-4C7165125807}"/>
  <bookViews>
    <workbookView xWindow="6285" yWindow="-16320" windowWidth="29040" windowHeight="16440" activeTab="1" xr2:uid="{A65BB72B-1DE9-4568-937E-2E44CF334A91}"/>
  </bookViews>
  <sheets>
    <sheet name="Dashboard" sheetId="2" r:id="rId1"/>
    <sheet name="Tests" sheetId="1" r:id="rId2"/>
  </sheets>
  <definedNames>
    <definedName name="_xlnm._FilterDatabase" localSheetId="1" hidden="1">Tests!$A$4:$AC$102</definedName>
  </definedNames>
  <calcPr calcId="191029" calcCompleted="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I25" i="2" l="1"/>
  <c r="H25" i="2"/>
  <c r="G25" i="2"/>
  <c r="E25" i="2"/>
  <c r="I24" i="2"/>
  <c r="H24" i="2"/>
  <c r="G24" i="2"/>
  <c r="E24" i="2"/>
  <c r="I23" i="2"/>
  <c r="H23" i="2"/>
  <c r="G23" i="2"/>
  <c r="E23" i="2"/>
  <c r="I22" i="2"/>
  <c r="H22" i="2"/>
  <c r="G22" i="2"/>
  <c r="E22" i="2"/>
  <c r="I21" i="2"/>
  <c r="H21" i="2"/>
  <c r="G21" i="2"/>
  <c r="E21" i="2"/>
  <c r="B15" i="2"/>
  <c r="F24" i="2" l="1"/>
  <c r="F25" i="2"/>
  <c r="F21" i="2"/>
  <c r="F22" i="2"/>
  <c r="F23" i="2"/>
</calcChain>
</file>

<file path=xl/sharedStrings.xml><?xml version="1.0" encoding="utf-8"?>
<sst xmlns="http://schemas.openxmlformats.org/spreadsheetml/2006/main" count="1680" uniqueCount="452">
  <si>
    <t>Total</t>
  </si>
  <si>
    <t>Passed</t>
  </si>
  <si>
    <t>Not run</t>
  </si>
  <si>
    <t>Result</t>
  </si>
  <si>
    <t>Count</t>
  </si>
  <si>
    <t>PASS</t>
  </si>
  <si>
    <t>FAIL</t>
  </si>
  <si>
    <t>NOT RUN</t>
  </si>
  <si>
    <t>Tests</t>
  </si>
  <si>
    <t>Name</t>
  </si>
  <si>
    <t>Method</t>
  </si>
  <si>
    <t>URL</t>
  </si>
  <si>
    <t>aanvraagDatum</t>
  </si>
  <si>
    <t>aanvragerType</t>
  </si>
  <si>
    <t>reedsGesubsidieerdEigenaren</t>
  </si>
  <si>
    <t>reedsGesubsidieerdHuurders</t>
  </si>
  <si>
    <t>Expected</t>
  </si>
  <si>
    <t>Actual</t>
  </si>
  <si>
    <t>Status</t>
  </si>
  <si>
    <t>Run</t>
  </si>
  <si>
    <t>Username</t>
  </si>
  <si>
    <t>Password</t>
  </si>
  <si>
    <t>Outcome Names</t>
  </si>
  <si>
    <t>Variable Types</t>
  </si>
  <si>
    <t>Generated JSON Body</t>
  </si>
  <si>
    <t>POST</t>
  </si>
  <si>
    <t>https://operaton.open-regels.nl/engine-rest/decision-definition/key/BerekenBeschikbaarSubsidiePlafond/tenant-id/46/evaluate</t>
  </si>
  <si>
    <t>eigenaar</t>
  </si>
  <si>
    <t>demo</t>
  </si>
  <si>
    <t>cqa4fpd2jhz*tph5PVC</t>
  </si>
  <si>
    <t>beschikbaarSubsidiePlafond</t>
  </si>
  <si>
    <t>beschikbaarSubsidiePlafond=0.0</t>
  </si>
  <si>
    <t>https://operaton.open-regels.nl/engine-rest/decision-definition/key/jaarGebondenBudget/tenant-id/46/evaluate</t>
  </si>
  <si>
    <t>plafondEigenaren=437500.0, plafondHuurders=437500.0</t>
  </si>
  <si>
    <t>plafondEigenaren,plafondHuurders</t>
  </si>
  <si>
    <t>aanvraagDatum:String</t>
  </si>
  <si>
    <t>Enable macros. Use Run All Tests on the Dashboard or a row Run button; the macro sends POST requests using the Generated JSON Body column.</t>
  </si>
  <si>
    <t>basisHoogteSubsidie</t>
  </si>
  <si>
    <t>gemaakteKosten</t>
  </si>
  <si>
    <t>minimaleNoodzakelijkeKosten</t>
  </si>
  <si>
    <t>plafondEigenaren</t>
  </si>
  <si>
    <t>plafondHuurders</t>
  </si>
  <si>
    <t>subsidieMaximum</t>
  </si>
  <si>
    <t>subsidieMinimum</t>
  </si>
  <si>
    <t>subsidiePercentage</t>
  </si>
  <si>
    <t>Decision ID</t>
  </si>
  <si>
    <t>Selected Rule ID</t>
  </si>
  <si>
    <t>Selected Rule Index</t>
  </si>
  <si>
    <t>Coverage Reasons</t>
  </si>
  <si>
    <t>TC_001 Behaalbare Hoogte Subsidie - Boundary/domain value - Rule_Behaalbare_BasisPastBinnenResterendBudget</t>
  </si>
  <si>
    <t>https://operaton.open-regels.nl/engine-rest/decision-definition/key/BehaalbareHoogteSubsidie/tenant-id/46/evaluate</t>
  </si>
  <si>
    <t>hoogteSubsidie=0.0</t>
  </si>
  <si>
    <t>hoogteSubsidie</t>
  </si>
  <si>
    <t>basisHoogteSubsidie:Double;beschikbaarSubsidiePlafond:Double</t>
  </si>
  <si>
    <t>BehaalbareHoogteSubsidie</t>
  </si>
  <si>
    <t>Rule_Behaalbare_BasisPastBinnenResterendBudget</t>
  </si>
  <si>
    <t>Boundary/domain value: basisHoogteSubsidie=0
Boundary/domain value: beschikbaarSubsidiePlafond=0
Output minimum: hoogteSubsidie=0
Output near zero boundary: hoogteSubsidie=0</t>
  </si>
  <si>
    <t>TC_002 Behaalbare Hoogte Subsidie - MC/DC - Rule_Behaalbare_BasisPastBinnenResterendBudget</t>
  </si>
  <si>
    <t>MC/DC: rule 2 Rule_Behaalbare_BeperktDoorResterendBudget, condition [basisHoogteSubsidie &gt; beschikbaarSubsidiePlafond] baseline</t>
  </si>
  <si>
    <t>TC_003 Behaalbare Hoogte Subsidie - MC/DC - Rule_Behaalbare_BeperktDoorResterendBudget</t>
  </si>
  <si>
    <t>Rule_Behaalbare_BeperktDoorResterendBudget</t>
  </si>
  <si>
    <t>MC/DC: rule 1 Rule_Behaalbare_BasisPastBinnenResterendBudget, condition [basisHoogteSubsidie &lt;= beschikbaarSubsidiePlafond] baseline</t>
  </si>
  <si>
    <t>TC_004 Behaalbare Hoogte Subsidie - Boundary/domain value - Rule_Behaalbare_BasisPastBinnenResterendBudget</t>
  </si>
  <si>
    <t>hoogteSubsidie=1.0</t>
  </si>
  <si>
    <t>Boundary/domain value: basisHoogteSubsidie=1</t>
  </si>
  <si>
    <t>TC_005 Behaalbare Hoogte Subsidie - MC/DC - Rule_Behaalbare_BasisPastBinnenResterendBudget</t>
  </si>
  <si>
    <t>MC/DC: rule 1 Rule_Behaalbare_BasisPastBinnenResterendBudget, condition [basisHoogteSubsidie &lt;= beschikbaarSubsidiePlafond] flipped
Boundary/domain value: beschikbaarSubsidiePlafond=1</t>
  </si>
  <si>
    <t>TC_006 Behaalbare Hoogte Subsidie - Boundary/domain value - Rule_Behaalbare_BasisPastBinnenResterendBudget</t>
  </si>
  <si>
    <t>hoogteSubsidie=1249.0</t>
  </si>
  <si>
    <t>Boundary/domain value: basisHoogteSubsidie=1249
Boundary/domain value: beschikbaarSubsidiePlafond=1249</t>
  </si>
  <si>
    <t>TC_007 Behaalbare Hoogte Subsidie - Boundary/domain value - Rule_Behaalbare_BeperktDoorResterendBudget</t>
  </si>
  <si>
    <t>hoogteSubsidie=749.0</t>
  </si>
  <si>
    <t>Boundary/domain value: beschikbaarSubsidiePlafond=749</t>
  </si>
  <si>
    <t>TC_008 Behaalbare Hoogte Subsidie - Boundary/domain value - Rule_Behaalbare_BeperktDoorResterendBudget</t>
  </si>
  <si>
    <t>hoogteSubsidie=750.0</t>
  </si>
  <si>
    <t>Boundary/domain value: beschikbaarSubsidiePlafond=750</t>
  </si>
  <si>
    <t>TC_009 Behaalbare Hoogte Subsidie - Boundary/domain value - Rule_Behaalbare_BeperktDoorResterendBudget</t>
  </si>
  <si>
    <t>hoogteSubsidie=751.0</t>
  </si>
  <si>
    <t>Boundary/domain value: beschikbaarSubsidiePlafond=751</t>
  </si>
  <si>
    <t>TC_010 Behaalbare Hoogte Subsidie - Boundary/domain value - Rule_Behaalbare_BasisPastBinnenResterendBudget</t>
  </si>
  <si>
    <t>hoogteSubsidie=1250.0</t>
  </si>
  <si>
    <t>Boundary/domain value: basisHoogteSubsidie=1250
Boundary/domain value: beschikbaarSubsidiePlafond=1250</t>
  </si>
  <si>
    <t>TC_011 Behaalbare Hoogte Subsidie - Boundary/domain value - Rule_Behaalbare_BasisPastBinnenResterendBudget</t>
  </si>
  <si>
    <t>hoogteSubsidie=1251.0</t>
  </si>
  <si>
    <t>Boundary/domain value: basisHoogteSubsidie=1251
Boundary/domain value: beschikbaarSubsidiePlafond=1251</t>
  </si>
  <si>
    <t>TC_012 Behaalbare Hoogte Subsidie - Boundary/domain value - Rule_Behaalbare_BasisPastBinnenResterendBudget</t>
  </si>
  <si>
    <t>hoogteSubsidie=437499.0</t>
  </si>
  <si>
    <t>Boundary/domain value: basisHoogteSubsidie=437499
Boundary/domain value: beschikbaarSubsidiePlafond=437499</t>
  </si>
  <si>
    <t>TC_013 Behaalbare Hoogte Subsidie - Boundary/domain value - Rule_Behaalbare_BasisPastBinnenResterendBudget</t>
  </si>
  <si>
    <t>hoogteSubsidie=437500.0</t>
  </si>
  <si>
    <t>Boundary/domain value: basisHoogteSubsidie=437500
Boundary/domain value: beschikbaarSubsidiePlafond=437500</t>
  </si>
  <si>
    <t>TC_014 Behaalbare Hoogte Subsidie - Representative selected rule 2 - Rule_Behaalbare_BeperktDoorResterendBudget</t>
  </si>
  <si>
    <t>Representative selected rule 2: Rule_Behaalbare_BeperktDoorResterendBudget</t>
  </si>
  <si>
    <t>TC_015 Behaalbare Hoogte Subsidie - Boundary/domain value - Rule_Behaalbare_BasisPastBinnenResterendBudget</t>
  </si>
  <si>
    <t>hoogteSubsidie=437501.0</t>
  </si>
  <si>
    <t>Boundary/domain value: basisHoogteSubsidie=437501
Boundary/domain value: beschikbaarSubsidiePlafond=437501
Representative selected rule 1: Rule_Behaalbare_BasisPastBinnenResterendBudget
Output maximum: hoogteSubsidie=437501</t>
  </si>
  <si>
    <t>TC_016 Behaalbare Hoogte Subsidie - Boundary/domain value - Rule_Behaalbare_BasisPastBinnenResterendBudget</t>
  </si>
  <si>
    <t>Boundary/domain value: basisHoogteSubsidie=749</t>
  </si>
  <si>
    <t>TC_017 Behaalbare Hoogte Subsidie - MC/DC - Rule_Behaalbare_BeperktDoorResterendBudget</t>
  </si>
  <si>
    <t>MC/DC: rule 2 Rule_Behaalbare_BeperktDoorResterendBudget, condition [basisHoogteSubsidie &gt; beschikbaarSubsidiePlafond] flipped</t>
  </si>
  <si>
    <t>TC_018 Behaalbare Hoogte Subsidie - Boundary/domain value - Rule_Behaalbare_BasisPastBinnenResterendBudget</t>
  </si>
  <si>
    <t>Boundary/domain value: basisHoogteSubsidie=750</t>
  </si>
  <si>
    <t>TC_019 Behaalbare Hoogte Subsidie - Boundary/domain value - Rule_Behaalbare_BasisPastBinnenResterendBudget</t>
  </si>
  <si>
    <t>Boundary/domain value: basisHoogteSubsidie=751</t>
  </si>
  <si>
    <t>TC_020 Bereken Basis Hoogte Subsidie - MC/DC - Rule_Basis_OnderMinimum</t>
  </si>
  <si>
    <t>https://operaton.open-regels.nl/engine-rest/decision-definition/key/BerekenBasisHoogteSubsidie/tenant-id/46/evaluate</t>
  </si>
  <si>
    <t>basisHoogteSubsidie=0.0</t>
  </si>
  <si>
    <t>gemaakteKosten:Double;minimaleNoodzakelijkeKosten:Double;subsidieMaximum:Double;subsidieMinimum:Double;subsidiePercentage:Double</t>
  </si>
  <si>
    <t>BerekenBasisHoogteSubsidie</t>
  </si>
  <si>
    <t>Rule_Basis_OnderMinimum</t>
  </si>
  <si>
    <t>MC/DC: rule 1 Rule_Basis_BovenMinimum, condition [gemaakteKosten &gt;= minimaleNoodzakelijkeKosten / subsidiePercentage] baseline
MC/DC: rule 2 Rule_Basis_OnderMinimum, condition [gemaakteKosten &lt; minimaleNoodzakelijkeKosten / subsidiePercentage] flipped
Boundary/domain value: gemaakteKosten=0
Representative selected rule 2: Rule_Basis_OnderMinimum
Output minimum: basisHoogteSubsidie=0
Output near zero boundary: basisHoogteSubsidie=0</t>
  </si>
  <si>
    <t>TC_021 Bereken Basis Hoogte Subsidie - Boundary/domain value - Rule_Basis_BovenMinimum</t>
  </si>
  <si>
    <t>basisHoogteSubsidie=1250.0</t>
  </si>
  <si>
    <t>Rule_Basis_BovenMinimum</t>
  </si>
  <si>
    <t>Boundary/domain value: gemaakteKosten=10000
Boundary/domain value: minimaleNoodzakelijkeKosten=750
Boundary/domain value: subsidieMaximum=1250
Boundary/domain value: subsidieMinimum=750
Boundary/domain value: subsidiePercentage=0.25
Representative selected rule 1: Rule_Basis_BovenMinimum
Output maximum: basisHoogteSubsidie=1250</t>
  </si>
  <si>
    <t>TC_022 Bereken Basis Hoogte Subsidie - Boundary/domain value - Rule_Basis_OnderMinimum</t>
  </si>
  <si>
    <t>Boundary/domain value: gemaakteKosten=2999</t>
  </si>
  <si>
    <t>TC_023 Bereken Basis Hoogte Subsidie - MC/DC - Rule_Basis_BovenMinimum</t>
  </si>
  <si>
    <t>basisHoogteSubsidie=750.0</t>
  </si>
  <si>
    <t>MC/DC: rule 1 Rule_Basis_BovenMinimum, condition [gemaakteKosten &gt;= minimaleNoodzakelijkeKosten / subsidiePercentage] flipped
MC/DC: rule 2 Rule_Basis_OnderMinimum, condition [gemaakteKosten &lt; minimaleNoodzakelijkeKosten / subsidiePercentage] baseline
Boundary/domain value: gemaakteKosten=3000</t>
  </si>
  <si>
    <t>TC_024 Bereken Basis Hoogte Subsidie - Boundary/domain value - Rule_Basis_BovenMinimum</t>
  </si>
  <si>
    <t>basisHoogteSubsidie=750.25</t>
  </si>
  <si>
    <t>Boundary/domain value: gemaakteKosten=3001</t>
  </si>
  <si>
    <t>TC_025 Bereken Basis Hoogte Subsidie - Boundary/domain value - Rule_Basis_BovenMinimum</t>
  </si>
  <si>
    <t>basisHoogteSubsidie=1249.75</t>
  </si>
  <si>
    <t>Boundary/domain value: gemaakteKosten=4999</t>
  </si>
  <si>
    <t>TC_026 Bereken Basis Hoogte Subsidie - Boundary/domain value - Rule_Basis_BovenMinimum</t>
  </si>
  <si>
    <t>Boundary/domain value: gemaakteKosten=5000</t>
  </si>
  <si>
    <t>TC_027 Bereken Basis Hoogte Subsidie - Boundary/domain value - Rule_Basis_BovenMinimum</t>
  </si>
  <si>
    <t>Boundary/domain value: gemaakteKosten=5001</t>
  </si>
  <si>
    <t>TC_028 Bereken Beschikbaar Subsidie Plafond - Boundary/domain value - Rule_Platform_BuitenAanvraagperiodeOfOnbekendType</t>
  </si>
  <si>
    <t>2025-12-31</t>
  </si>
  <si>
    <t>aanvraagDatum:String;aanvragerType:String;plafondEigenaren:Double;plafondHuurders:Double;reedsGesubsidieerdEigenaren:Double;reedsGesubsidieerdHuurders:Double</t>
  </si>
  <si>
    <t>BerekenBeschikbaarSubsidiePlafond</t>
  </si>
  <si>
    <t>Rule_Platform_BuitenAanvraagperiodeOfOnbekendType</t>
  </si>
  <si>
    <t>Boundary/domain value: aanvraagDatum='2025-12-31'
Representative selected rule 7: Rule_Platform_BuitenAanvraagperiodeOfOnbekendType</t>
  </si>
  <si>
    <t>TC_029 Bereken Beschikbaar Subsidie Plafond - MC/DC - Rule_Platform_BuitenAanvraagperiodeOfOnbekendType</t>
  </si>
  <si>
    <t>MC/DC: rule 1 Rule_Platform_2026_Eigenaar_Gescheiden, condition [date(aanvraagDatum) &gt;= date("2026-01-12")] baseline
MC/DC: rule 3 Rule_Platform_2026_Gebundeld, condition [date(aanvraagDatum) &gt;= date("2026-10-01")] baseline
MC/DC: rule 4 Rule_Platform_2027_Eigenaar_Gescheiden, condition [date("2027-01-01") &lt;= date(aanvraagDatum)] baseline
MC/DC: rule 6 Rule_Platform_2027_Gebundeld, condition [date(aanvraagDatum) &gt;= date("2027-10-01")] baseline
Output minimum: beschikbaarSubsidiePlafond=0
Output near zero boundary: beschikbaarSubsidiePlafond=0</t>
  </si>
  <si>
    <t>TC_030 Bereken Beschikbaar Subsidie Plafond - MC/DC - Rule_Platform_BuitenAanvraagperiodeOfOnbekendType</t>
  </si>
  <si>
    <t>huurder</t>
  </si>
  <si>
    <t>MC/DC: rule 2 Rule_Platform_2026_Huurder_Gescheiden, condition [date(aanvraagDatum) &gt;= date("2026-01-12")] baseline
MC/DC: rule 5 Rule_Platform_2027_Huurder_Gescheiden, condition [date(aanvraagDatum) &gt;= date("2027-01-01")] baseline</t>
  </si>
  <si>
    <t>TC_031 Bereken Beschikbaar Subsidie Plafond - Boundary/domain value - Rule_Platform_BuitenAanvraagperiodeOfOnbekendType</t>
  </si>
  <si>
    <t>2026-01-11</t>
  </si>
  <si>
    <t>Boundary/domain value: aanvraagDatum='2026-01-11'</t>
  </si>
  <si>
    <t>TC_032 Bereken Beschikbaar Subsidie Plafond - Boundary/domain value - Rule_Platform_2026_Eigenaar_Gescheiden</t>
  </si>
  <si>
    <t>2026-01-12</t>
  </si>
  <si>
    <t>beschikbaarSubsidiePlafond=1000000.0</t>
  </si>
  <si>
    <t>Rule_Platform_2026_Eigenaar_Gescheiden</t>
  </si>
  <si>
    <t>Boundary/domain value: aanvraagDatum='2026-01-12'
Representative selected rule 1: Rule_Platform_2026_Eigenaar_Gescheiden</t>
  </si>
  <si>
    <t>TC_033 Bereken Beschikbaar Subsidie Plafond - Boundary/domain value - Rule_Platform_2026_Eigenaar_Gescheiden</t>
  </si>
  <si>
    <t>Boundary/domain value: reedsGesubsidieerdHuurders=1000000</t>
  </si>
  <si>
    <t>TC_034 Bereken Beschikbaar Subsidie Plafond - Boundary/domain value - Rule_Platform_2026_Eigenaar_Gescheiden</t>
  </si>
  <si>
    <t>Boundary/domain value: reedsGesubsidieerdHuurders=1000001</t>
  </si>
  <si>
    <t>TC_035 Bereken Beschikbaar Subsidie Plafond - MC/DC - Rule_Platform_2026_Eigenaar_Gescheiden</t>
  </si>
  <si>
    <t>beschikbaarSubsidiePlafond=437500.0</t>
  </si>
  <si>
    <t>MC/DC: rule 1 Rule_Platform_2026_Eigenaar_Gescheiden, condition [date(aanvraagDatum) &gt;= date("2026-01-12")] flipped
MC/DC: rule 1 Rule_Platform_2026_Eigenaar_Gescheiden, condition [date(aanvraagDatum) &lt;= date("2026-09-30")] flipped</t>
  </si>
  <si>
    <t>TC_036 Bereken Beschikbaar Subsidie Plafond - MC/DC - Rule_Platform_2026_Eigenaar_Gescheiden</t>
  </si>
  <si>
    <t>MC/DC: rule 1 Rule_Platform_2026_Eigenaar_Gescheiden, condition [aanvragerType == "eigenaar"] flipped
MC/DC: rule 2 Rule_Platform_2026_Huurder_Gescheiden, condition [aanvragerType == "huurder"] baseline</t>
  </si>
  <si>
    <t>TC_037 Bereken Beschikbaar Subsidie Plafond - Representative selected rule 2 - Rule_Platform_2026_Huurder_Gescheiden</t>
  </si>
  <si>
    <t>Rule_Platform_2026_Huurder_Gescheiden</t>
  </si>
  <si>
    <t>Representative selected rule 2: Rule_Platform_2026_Huurder_Gescheiden</t>
  </si>
  <si>
    <t>TC_038 Bereken Beschikbaar Subsidie Plafond - Boundary/domain value - Rule_Platform_2026_Huurder_Gescheiden</t>
  </si>
  <si>
    <t>Boundary/domain value: reedsGesubsidieerdEigenaren=1000000</t>
  </si>
  <si>
    <t>TC_039 Bereken Beschikbaar Subsidie Plafond - Boundary/domain value - Rule_Platform_2026_Huurder_Gescheiden</t>
  </si>
  <si>
    <t>Boundary/domain value: reedsGesubsidieerdEigenaren=1000001</t>
  </si>
  <si>
    <t>TC_040 Bereken Beschikbaar Subsidie Plafond - MC/DC - Rule_Platform_2026_Huurder_Gescheiden</t>
  </si>
  <si>
    <t>MC/DC: rule 2 Rule_Platform_2026_Huurder_Gescheiden, condition [date(aanvraagDatum) &gt;= date("2026-01-12")] flipped
MC/DC: rule 2 Rule_Platform_2026_Huurder_Gescheiden, condition [date(aanvraagDatum) &lt;= date("2026-09-30")] flipped</t>
  </si>
  <si>
    <t>TC_041 Bereken Beschikbaar Subsidie Plafond - MC/DC - Rule_Platform_2026_Huurder_Gescheiden</t>
  </si>
  <si>
    <t>beschikbaarSubsidiePlafond=437499.0</t>
  </si>
  <si>
    <t>MC/DC: rule 1 Rule_Platform_2026_Eigenaar_Gescheiden, condition [aanvragerType == "eigenaar"] baseline
MC/DC: rule 2 Rule_Platform_2026_Huurder_Gescheiden, condition [aanvragerType == "huurder"] flipped</t>
  </si>
  <si>
    <t>TC_042 Bereken Beschikbaar Subsidie Plafond - Boundary/domain value - Rule_Platform_2026_Eigenaar_Gescheiden</t>
  </si>
  <si>
    <t>2026-01-13</t>
  </si>
  <si>
    <t>Boundary/domain value: aanvraagDatum='2026-01-13'</t>
  </si>
  <si>
    <t>TC_043 Bereken Beschikbaar Subsidie Plafond - Boundary/domain value - Rule_Platform_2026_Eigenaar_Gescheiden</t>
  </si>
  <si>
    <t>2026-09-29</t>
  </si>
  <si>
    <t>Boundary/domain value: aanvraagDatum='2026-09-29'</t>
  </si>
  <si>
    <t>TC_044 Bereken Beschikbaar Subsidie Plafond - Boundary/domain value - Rule_Platform_2026_Eigenaar_Gescheiden</t>
  </si>
  <si>
    <t>2026-09-30</t>
  </si>
  <si>
    <t>Boundary/domain value: aanvraagDatum='2026-09-30'</t>
  </si>
  <si>
    <t>TC_045 Bereken Beschikbaar Subsidie Plafond - Boundary/domain value - Rule_Platform_2026_Gebundeld</t>
  </si>
  <si>
    <t>2026-10-01</t>
  </si>
  <si>
    <t>beschikbaarSubsidiePlafond=2000000.0</t>
  </si>
  <si>
    <t>Rule_Platform_2026_Gebundeld</t>
  </si>
  <si>
    <t>Boundary/domain value: aanvraagDatum='2026-10-01'
Boundary/domain value: aanvragerType='eigenaar'
Boundary/domain value: plafondEigenaren=1000000
Boundary/domain value: plafondHuurders=1000000
Boundary/domain value: reedsGesubsidieerdEigenaren=0
Boundary/domain value: reedsGesubsidieerdHuurders=0
Representative selected rule 3: Rule_Platform_2026_Gebundeld</t>
  </si>
  <si>
    <t>TC_046 Bereken Beschikbaar Subsidie Plafond - Boundary/domain value - Rule_Platform_2026_Gebundeld</t>
  </si>
  <si>
    <t>beschikbaarSubsidiePlafond=1999999.0</t>
  </si>
  <si>
    <t>Boundary/domain value: reedsGesubsidieerdHuurders=1</t>
  </si>
  <si>
    <t>TC_047 Bereken Beschikbaar Subsidie Plafond - Boundary/domain value - Rule_Platform_2026_Gebundeld</t>
  </si>
  <si>
    <t>beschikbaarSubsidiePlafond=1562501.0</t>
  </si>
  <si>
    <t>Boundary/domain value: reedsGesubsidieerdHuurders=437499</t>
  </si>
  <si>
    <t>TC_048 Bereken Beschikbaar Subsidie Plafond - Boundary/domain value - Rule_Platform_2026_Gebundeld</t>
  </si>
  <si>
    <t>beschikbaarSubsidiePlafond=1562500.0</t>
  </si>
  <si>
    <t>Boundary/domain value: reedsGesubsidieerdHuurders=437500</t>
  </si>
  <si>
    <t>TC_049 Bereken Beschikbaar Subsidie Plafond - Boundary/domain value - Rule_Platform_2026_Gebundeld</t>
  </si>
  <si>
    <t>beschikbaarSubsidiePlafond=1562499.0</t>
  </si>
  <si>
    <t>Boundary/domain value: reedsGesubsidieerdHuurders=437501</t>
  </si>
  <si>
    <t>TC_050 Bereken Beschikbaar Subsidie Plafond - Boundary/domain value - Rule_Platform_2026_Gebundeld</t>
  </si>
  <si>
    <t>beschikbaarSubsidiePlafond=1125001.0</t>
  </si>
  <si>
    <t>Boundary/domain value: reedsGesubsidieerdHuurders=874999</t>
  </si>
  <si>
    <t>TC_051 Bereken Beschikbaar Subsidie Plafond - Boundary/domain value - Rule_Platform_2026_Gebundeld</t>
  </si>
  <si>
    <t>beschikbaarSubsidiePlafond=1125000.0</t>
  </si>
  <si>
    <t>Boundary/domain value: reedsGesubsidieerdHuurders=875000</t>
  </si>
  <si>
    <t>TC_052 Bereken Beschikbaar Subsidie Plafond - Boundary/domain value - Rule_Platform_2026_Gebundeld</t>
  </si>
  <si>
    <t>beschikbaarSubsidiePlafond=1124999.0</t>
  </si>
  <si>
    <t>Boundary/domain value: reedsGesubsidieerdHuurders=875001</t>
  </si>
  <si>
    <t>TC_053 Bereken Beschikbaar Subsidie Plafond - Boundary/domain value - Rule_Platform_2026_Gebundeld</t>
  </si>
  <si>
    <t>beschikbaarSubsidiePlafond=1000001.0</t>
  </si>
  <si>
    <t>Boundary/domain value: reedsGesubsidieerdHuurders=999999</t>
  </si>
  <si>
    <t>TC_054 Bereken Beschikbaar Subsidie Plafond - Boundary/domain value - Rule_Platform_2026_Gebundeld</t>
  </si>
  <si>
    <t>Boundary/domain value: reedsGesubsidieerdEigenaren=1</t>
  </si>
  <si>
    <t>TC_055 Bereken Beschikbaar Subsidie Plafond - Boundary/domain value - Rule_Platform_2026_Gebundeld</t>
  </si>
  <si>
    <t>Boundary/domain value: reedsGesubsidieerdEigenaren=437499</t>
  </si>
  <si>
    <t>TC_056 Bereken Beschikbaar Subsidie Plafond - Boundary/domain value - Rule_Platform_2026_Gebundeld</t>
  </si>
  <si>
    <t>Boundary/domain value: reedsGesubsidieerdEigenaren=437500</t>
  </si>
  <si>
    <t>TC_057 Bereken Beschikbaar Subsidie Plafond - Boundary/domain value - Rule_Platform_2026_Gebundeld</t>
  </si>
  <si>
    <t>Boundary/domain value: reedsGesubsidieerdEigenaren=437501</t>
  </si>
  <si>
    <t>TC_058 Bereken Beschikbaar Subsidie Plafond - Boundary/domain value - Rule_Platform_2026_Gebundeld</t>
  </si>
  <si>
    <t>Boundary/domain value: reedsGesubsidieerdEigenaren=874999</t>
  </si>
  <si>
    <t>TC_059 Bereken Beschikbaar Subsidie Plafond - Boundary/domain value - Rule_Platform_2026_Gebundeld</t>
  </si>
  <si>
    <t>Boundary/domain value: reedsGesubsidieerdEigenaren=875000</t>
  </si>
  <si>
    <t>TC_060 Bereken Beschikbaar Subsidie Plafond - Boundary/domain value - Rule_Platform_2026_Gebundeld</t>
  </si>
  <si>
    <t>Boundary/domain value: reedsGesubsidieerdEigenaren=875001</t>
  </si>
  <si>
    <t>TC_061 Bereken Beschikbaar Subsidie Plafond - Boundary/domain value - Rule_Platform_2026_Gebundeld</t>
  </si>
  <si>
    <t>Boundary/domain value: reedsGesubsidieerdEigenaren=999999</t>
  </si>
  <si>
    <t>TC_062 Bereken Beschikbaar Subsidie Plafond - Boundary/domain value - Rule_Platform_2026_Gebundeld</t>
  </si>
  <si>
    <t>beschikbaarSubsidiePlafond=1437500.0</t>
  </si>
  <si>
    <t>Boundary/domain value: plafondHuurders=437500</t>
  </si>
  <si>
    <t>TC_063 Bereken Beschikbaar Subsidie Plafond - Boundary/domain value - Rule_Platform_2026_Gebundeld</t>
  </si>
  <si>
    <t>beschikbaarSubsidiePlafond=1875000.0</t>
  </si>
  <si>
    <t>Boundary/domain value: plafondHuurders=875000</t>
  </si>
  <si>
    <t>TC_064 Bereken Beschikbaar Subsidie Plafond - Boundary/domain value - Rule_Platform_2026_Gebundeld</t>
  </si>
  <si>
    <t>Boundary/domain value: plafondEigenaren=437500</t>
  </si>
  <si>
    <t>TC_065 Bereken Beschikbaar Subsidie Plafond - MC/DC - Rule_Platform_2026_Gebundeld</t>
  </si>
  <si>
    <t>beschikbaarSubsidiePlafond=875000.0</t>
  </si>
  <si>
    <t>MC/DC: rule 1 Rule_Platform_2026_Eigenaar_Gescheiden, condition [date(aanvraagDatum) &lt;= date("2026-09-30")] baseline
MC/DC: rule 3 Rule_Platform_2026_Gebundeld, condition [date(aanvraagDatum) &gt;= date("2026-10-01")] flipped
MC/DC: rule 3 Rule_Platform_2026_Gebundeld, condition [date(aanvraagDatum) &lt;= date("2026-12-31")] flipped</t>
  </si>
  <si>
    <t>TC_066 Bereken Beschikbaar Subsidie Plafond - Boundary/domain value - Rule_Platform_2026_Gebundeld</t>
  </si>
  <si>
    <t>Boundary/domain value: plafondEigenaren=875000</t>
  </si>
  <si>
    <t>TC_067 Bereken Beschikbaar Subsidie Plafond - Boundary/domain value - Rule_Platform_2026_Gebundeld</t>
  </si>
  <si>
    <t>Boundary/domain value: aanvragerType='huurder'</t>
  </si>
  <si>
    <t>TC_068 Bereken Beschikbaar Subsidie Plafond - MC/DC - Rule_Platform_2026_Gebundeld</t>
  </si>
  <si>
    <t>MC/DC: rule 2 Rule_Platform_2026_Huurder_Gescheiden, condition [date(aanvraagDatum) &lt;= date("2026-09-30")] baseline</t>
  </si>
  <si>
    <t>TC_069 Bereken Beschikbaar Subsidie Plafond - Boundary/domain value - Rule_Platform_2026_Gebundeld</t>
  </si>
  <si>
    <t>onbekend</t>
  </si>
  <si>
    <t>Boundary/domain value: aanvragerType='onbekend'</t>
  </si>
  <si>
    <t>TC_070 Bereken Beschikbaar Subsidie Plafond - Boundary/domain value - Rule_Platform_2026_Gebundeld</t>
  </si>
  <si>
    <t>2026-10-02</t>
  </si>
  <si>
    <t>Boundary/domain value: aanvraagDatum='2026-10-02'</t>
  </si>
  <si>
    <t>TC_071 Bereken Beschikbaar Subsidie Plafond - Boundary/domain value - Rule_Platform_2026_Gebundeld</t>
  </si>
  <si>
    <t>2026-12-30</t>
  </si>
  <si>
    <t>Boundary/domain value: aanvraagDatum='2026-12-30'</t>
  </si>
  <si>
    <t>TC_072 Bereken Beschikbaar Subsidie Plafond - Boundary/domain value - Rule_Platform_2026_Gebundeld</t>
  </si>
  <si>
    <t>2026-12-31</t>
  </si>
  <si>
    <t>Boundary/domain value: aanvraagDatum='2026-12-31'</t>
  </si>
  <si>
    <t>TC_073 Bereken Beschikbaar Subsidie Plafond - Output maximum - Rule_Platform_2026_Gebundeld</t>
  </si>
  <si>
    <t>Output maximum: beschikbaarSubsidiePlafond=2000000</t>
  </si>
  <si>
    <t>TC_074 Bereken Beschikbaar Subsidie Plafond - Boundary/domain value - Rule_Platform_2027_Eigenaar_Gescheiden</t>
  </si>
  <si>
    <t>2027-01-01</t>
  </si>
  <si>
    <t>Rule_Platform_2027_Eigenaar_Gescheiden</t>
  </si>
  <si>
    <t>Boundary/domain value: aanvraagDatum='2027-01-01'
Representative selected rule 4: Rule_Platform_2027_Eigenaar_Gescheiden</t>
  </si>
  <si>
    <t>TC_075 Bereken Beschikbaar Subsidie Plafond - MC/DC - Rule_Platform_2027_Eigenaar_Gescheiden</t>
  </si>
  <si>
    <t>MC/DC: rule 3 Rule_Platform_2026_Gebundeld, condition [date(aanvraagDatum) &lt;= date("2026-12-31")] baseline
MC/DC: rule 4 Rule_Platform_2027_Eigenaar_Gescheiden, condition [date("2027-01-01") &lt;= date(aanvraagDatum)] flipped
MC/DC: rule 4 Rule_Platform_2027_Eigenaar_Gescheiden, condition [date(aanvraagDatum) &lt;= date("2027-09-30")] flipped</t>
  </si>
  <si>
    <t>TC_076 Bereken Beschikbaar Subsidie Plafond - MC/DC - Rule_Platform_2027_Eigenaar_Gescheiden</t>
  </si>
  <si>
    <t>MC/DC: rule 4 Rule_Platform_2027_Eigenaar_Gescheiden, condition [aanvragerType == "eigenaar"] flipped
MC/DC: rule 5 Rule_Platform_2027_Huurder_Gescheiden, condition [aanvragerType == "huurder"] baseline</t>
  </si>
  <si>
    <t>TC_077 Bereken Beschikbaar Subsidie Plafond - Representative selected rule 5 - Rule_Platform_2027_Huurder_Gescheiden</t>
  </si>
  <si>
    <t>Rule_Platform_2027_Huurder_Gescheiden</t>
  </si>
  <si>
    <t>Representative selected rule 5: Rule_Platform_2027_Huurder_Gescheiden</t>
  </si>
  <si>
    <t>TC_078 Bereken Beschikbaar Subsidie Plafond - MC/DC - Rule_Platform_2027_Huurder_Gescheiden</t>
  </si>
  <si>
    <t>MC/DC: rule 5 Rule_Platform_2027_Huurder_Gescheiden, condition [date(aanvraagDatum) &gt;= date("2027-01-01")] flipped
MC/DC: rule 5 Rule_Platform_2027_Huurder_Gescheiden, condition [date(aanvraagDatum) &lt;= date("2027-09-30")] flipped</t>
  </si>
  <si>
    <t>TC_079 Bereken Beschikbaar Subsidie Plafond - MC/DC - Rule_Platform_2027_Huurder_Gescheiden</t>
  </si>
  <si>
    <t>MC/DC: rule 4 Rule_Platform_2027_Eigenaar_Gescheiden, condition [aanvragerType == "eigenaar"] baseline
MC/DC: rule 5 Rule_Platform_2027_Huurder_Gescheiden, condition [aanvragerType == "huurder"] flipped</t>
  </si>
  <si>
    <t>TC_080 Bereken Beschikbaar Subsidie Plafond - Boundary/domain value - Rule_Platform_2027_Eigenaar_Gescheiden</t>
  </si>
  <si>
    <t>2027-01-02</t>
  </si>
  <si>
    <t>Boundary/domain value: aanvraagDatum='2027-01-02'</t>
  </si>
  <si>
    <t>TC_081 Bereken Beschikbaar Subsidie Plafond - Boundary/domain value - Rule_Platform_2027_Eigenaar_Gescheiden</t>
  </si>
  <si>
    <t>2027-09-29</t>
  </si>
  <si>
    <t>Boundary/domain value: aanvraagDatum='2027-09-29'</t>
  </si>
  <si>
    <t>TC_082 Bereken Beschikbaar Subsidie Plafond - Boundary/domain value - Rule_Platform_2027_Eigenaar_Gescheiden</t>
  </si>
  <si>
    <t>2027-09-30</t>
  </si>
  <si>
    <t>Boundary/domain value: aanvraagDatum='2027-09-30'</t>
  </si>
  <si>
    <t>TC_083 Bereken Beschikbaar Subsidie Plafond - Boundary/domain value - Rule_Platform_2027_Gebundeld</t>
  </si>
  <si>
    <t>2027-10-01</t>
  </si>
  <si>
    <t>Rule_Platform_2027_Gebundeld</t>
  </si>
  <si>
    <t>Boundary/domain value: aanvraagDatum='2027-10-01'
Representative selected rule 6: Rule_Platform_2027_Gebundeld</t>
  </si>
  <si>
    <t>TC_084 Bereken Beschikbaar Subsidie Plafond - MC/DC - Rule_Platform_2027_Gebundeld</t>
  </si>
  <si>
    <t>MC/DC: rule 4 Rule_Platform_2027_Eigenaar_Gescheiden, condition [date(aanvraagDatum) &lt;= date("2027-09-30")] baseline
MC/DC: rule 6 Rule_Platform_2027_Gebundeld, condition [date(aanvraagDatum) &gt;= date("2027-10-01")] flipped
MC/DC: rule 6 Rule_Platform_2027_Gebundeld, condition [date(aanvraagDatum) &lt;= date("2027-12-31")] flipped</t>
  </si>
  <si>
    <t>TC_085 Bereken Beschikbaar Subsidie Plafond - MC/DC - Rule_Platform_2027_Gebundeld</t>
  </si>
  <si>
    <t>MC/DC: rule 5 Rule_Platform_2027_Huurder_Gescheiden, condition [date(aanvraagDatum) &lt;= date("2027-09-30")] baseline</t>
  </si>
  <si>
    <t>TC_086 Bereken Beschikbaar Subsidie Plafond - Boundary/domain value - Rule_Platform_2027_Gebundeld</t>
  </si>
  <si>
    <t>2027-10-02</t>
  </si>
  <si>
    <t>Boundary/domain value: aanvraagDatum='2027-10-02'</t>
  </si>
  <si>
    <t>TC_087 Bereken Beschikbaar Subsidie Plafond - Boundary/domain value - Rule_Platform_2027_Gebundeld</t>
  </si>
  <si>
    <t>2027-12-30</t>
  </si>
  <si>
    <t>Boundary/domain value: aanvraagDatum='2027-12-30'</t>
  </si>
  <si>
    <t>TC_088 Bereken Beschikbaar Subsidie Plafond - Boundary/domain value - Rule_Platform_2027_Gebundeld</t>
  </si>
  <si>
    <t>2027-12-31</t>
  </si>
  <si>
    <t>Boundary/domain value: aanvraagDatum='2027-12-31'</t>
  </si>
  <si>
    <t>TC_089 Bereken Beschikbaar Subsidie Plafond - Boundary/domain value - Rule_Platform_BuitenAanvraagperiodeOfOnbekendType</t>
  </si>
  <si>
    <t>2028-01-01</t>
  </si>
  <si>
    <t>Boundary/domain value: aanvraagDatum='2028-01-01'</t>
  </si>
  <si>
    <t>TC_090 Bereken Beschikbaar Subsidie Plafond - MC/DC - Rule_Platform_BuitenAanvraagperiodeOfOnbekendType</t>
  </si>
  <si>
    <t>MC/DC: rule 6 Rule_Platform_2027_Gebundeld, condition [date(aanvraagDatum) &lt;= date("2027-12-31")] baseline</t>
  </si>
  <si>
    <t>TC_091 Bereken Beschikbaar Subsidie Plafond - Boundary/domain value - Rule_Platform_BuitenAanvraagperiodeOfOnbekendType</t>
  </si>
  <si>
    <t>2029-01-01</t>
  </si>
  <si>
    <t>Boundary/domain value: aanvraagDatum='2029-01-01'</t>
  </si>
  <si>
    <t>TC_092 Subsidie Constanten Thuisbatterij - Representative selected rule 1 - Rule_Constanten_Standaard</t>
  </si>
  <si>
    <t>https://operaton.open-regels.nl/engine-rest/decision-definition/key/SubsidieConstantenThuisbatterij/tenant-id/46/evaluate</t>
  </si>
  <si>
    <t>subsidiePercentage=0.25, subsidieMinimum=750.0, subsidieMaximum=1250.0, minimaleNoodzakelijkeKosten=750.0</t>
  </si>
  <si>
    <t>subsidiePercentage,subsidieMinimum,subsidieMaximum,minimaleNoodzakelijkeKosten</t>
  </si>
  <si>
    <t>SubsidieConstantenThuisbatterij</t>
  </si>
  <si>
    <t>Rule_Constanten_Standaard</t>
  </si>
  <si>
    <t>Representative selected rule 1: Rule_Constanten_Standaard
Output minimum: subsidiePercentage=0.25
Output maximum: subsidiePercentage=0.25
Output near zero boundary: subsidiePercentage=0.25
Output minimum: subsidieMinimum=750
Output maximum: subsidieMinimum=750
Output near zero boundary: subsidieMinimum=750
Output minimum: subsidieMaximum=1250
Output maximum: subsidieMaximum=1250
Output near zero boundary: subsidieMaximum=1250
Output minimum: minimaleNoodzakelijkeKosten=750
Output maximum: minimaleNoodzakelijkeKosten=750
Output near zero boundary: minimaleNoodzakelijkeKosten=750</t>
  </si>
  <si>
    <t>TC_093 Jaar Gebonden Budget - MC/DC - no matching rule</t>
  </si>
  <si>
    <t>plafondEigenaren=null, plafondHuurders=null</t>
  </si>
  <si>
    <t>jaarGebondenBudget</t>
  </si>
  <si>
    <t>MC/DC: rule 1 DecisionRule_0nfr6kl, condition [date(aanvraagDatum).year == 2026] baseline
MC/DC: rule 2 DecisionRule_1e5agpr, condition [date(aanvraagDatum).year == 2027] baseline
Boundary/domain value: aanvraagDatum='2025-12-31'</t>
  </si>
  <si>
    <t>TC_094 Jaar Gebonden Budget - MC/DC - DecisionRule_0nfr6kl</t>
  </si>
  <si>
    <t>2026-01-01</t>
  </si>
  <si>
    <t>DecisionRule_0nfr6kl</t>
  </si>
  <si>
    <t>MC/DC: rule 1 DecisionRule_0nfr6kl, condition [date(aanvraagDatum).year == 2026] flipped
Boundary/domain value: aanvraagDatum='2026-01-01'
Representative selected rule 1: DecisionRule_0nfr6kl
Output minimum: plafondEigenaren=437500
Output near zero boundary: plafondEigenaren=437500
Output minimum: plafondHuurders=437500
Output near zero boundary: plafondHuurders=437500</t>
  </si>
  <si>
    <t>TC_095 Jaar Gebonden Budget - Boundary/domain value - DecisionRule_0nfr6kl</t>
  </si>
  <si>
    <t>TC_096 Jaar Gebonden Budget - MC/DC - DecisionRule_1e5agpr</t>
  </si>
  <si>
    <t>DecisionRule_1e5agpr</t>
  </si>
  <si>
    <t>MC/DC: rule 2 DecisionRule_1e5agpr, condition [date(aanvraagDatum).year == 2027] flipped
Boundary/domain value: aanvraagDatum='2027-01-01'
Representative selected rule 2: DecisionRule_1e5agpr</t>
  </si>
  <si>
    <t>TC_097 Jaar Gebonden Budget - Boundary/domain value - DecisionRule_1e5agpr</t>
  </si>
  <si>
    <t>Boundary/domain value: aanvraagDatum='2027-12-31'
Output maximum: plafondEigenaren=437500
Output maximum: plafondHuurders=437500</t>
  </si>
  <si>
    <t>TC_098 Jaar Gebonden Budget - Boundary/domain value - no matching rule</t>
  </si>
  <si>
    <t>DMN MC/DC Test Generation Summary</t>
  </si>
  <si>
    <t>Boundary-focused MC/DC cases generated per DMN decision table. Enable macros, then use Run All Tests or row buttons for real POST execution.</t>
  </si>
  <si>
    <t>Failed/Error</t>
  </si>
  <si>
    <t>RUN ALL TESTS</t>
  </si>
  <si>
    <t>OPEN TESTS SHEET</t>
  </si>
  <si>
    <t>Metric</t>
  </si>
  <si>
    <t>Value</t>
  </si>
  <si>
    <t>Newman command</t>
  </si>
  <si>
    <t>newman run "hoogteVergoedingThuisbatterijBijRechtEnBudget.postman_collection.mcdc_examples.json"</t>
  </si>
  <si>
    <t>Source DMN</t>
  </si>
  <si>
    <t>hoogteVergoedingThuisbatterijBijRechtEnBudget.dmn</t>
  </si>
  <si>
    <t>Algorithm</t>
  </si>
  <si>
    <t>Per-decision-table boundary domains + MC/DC-style condition-pair selection</t>
  </si>
  <si>
    <t>Decision count</t>
  </si>
  <si>
    <t>Selected test cases</t>
  </si>
  <si>
    <t>Uncovered conditions</t>
  </si>
  <si>
    <t>Decision name</t>
  </si>
  <si>
    <t>Hit policy</t>
  </si>
  <si>
    <t>Candidate count</t>
  </si>
  <si>
    <t>Total cases</t>
  </si>
  <si>
    <t>Behaalbare Hoogte Subsidie</t>
  </si>
  <si>
    <t>UNIQUE</t>
  </si>
  <si>
    <t>Bereken Basis Hoogte Subsidie</t>
  </si>
  <si>
    <t>Bereken Beschikbaar Subsidie Plafond</t>
  </si>
  <si>
    <t>FIRST</t>
  </si>
  <si>
    <t>Subsidie Constanten Thuisbatterij</t>
  </si>
  <si>
    <t>Jaar Gebonden Budget</t>
  </si>
  <si>
    <t>{"variables":{"basisHoogteSubsidie":{"value":0,"type":"Double"},"beschikbaarSubsidiePlafond":{"value":0,"type":"Double"}}}</t>
  </si>
  <si>
    <t>{"variables":{"basisHoogteSubsidie":{"value":0,"type":"Double"},"beschikbaarSubsidiePlafond":{"value":1,"type":"Double"}}}</t>
  </si>
  <si>
    <t>{"variables":{"basisHoogteSubsidie":{"value":1,"type":"Double"},"beschikbaarSubsidiePlafond":{"value":0,"type":"Double"}}}</t>
  </si>
  <si>
    <t>{"variables":{"basisHoogteSubsidie":{"value":1,"type":"Double"},"beschikbaarSubsidiePlafond":{"value":1249,"type":"Double"}}}</t>
  </si>
  <si>
    <t>{"variables":{"basisHoogteSubsidie":{"value":1,"type":"Double"},"beschikbaarSubsidiePlafond":{"value":1,"type":"Double"}}}</t>
  </si>
  <si>
    <t>{"variables":{"basisHoogteSubsidie":{"value":1249,"type":"Double"},"beschikbaarSubsidiePlafond":{"value":1249,"type":"Double"}}}</t>
  </si>
  <si>
    <t>{"variables":{"basisHoogteSubsidie":{"value":1249,"type":"Double"},"beschikbaarSubsidiePlafond":{"value":749,"type":"Double"}}}</t>
  </si>
  <si>
    <t>{"variables":{"basisHoogteSubsidie":{"value":1249,"type":"Double"},"beschikbaarSubsidiePlafond":{"value":750,"type":"Double"}}}</t>
  </si>
  <si>
    <t>{"variables":{"basisHoogteSubsidie":{"value":1249,"type":"Double"},"beschikbaarSubsidiePlafond":{"value":751,"type":"Double"}}}</t>
  </si>
  <si>
    <t>{"variables":{"basisHoogteSubsidie":{"value":1250,"type":"Double"},"beschikbaarSubsidiePlafond":{"value":1250,"type":"Double"}}}</t>
  </si>
  <si>
    <t>{"variables":{"basisHoogteSubsidie":{"value":1251,"type":"Double"},"beschikbaarSubsidiePlafond":{"value":1251,"type":"Double"}}}</t>
  </si>
  <si>
    <t>{"variables":{"basisHoogteSubsidie":{"value":437499,"type":"Double"},"beschikbaarSubsidiePlafond":{"value":437499,"type":"Double"}}}</t>
  </si>
  <si>
    <t>{"variables":{"basisHoogteSubsidie":{"value":437500,"type":"Double"},"beschikbaarSubsidiePlafond":{"value":437500,"type":"Double"}}}</t>
  </si>
  <si>
    <t>{"variables":{"basisHoogteSubsidie":{"value":437501,"type":"Double"},"beschikbaarSubsidiePlafond":{"value":437500,"type":"Double"}}}</t>
  </si>
  <si>
    <t>{"variables":{"basisHoogteSubsidie":{"value":437501,"type":"Double"},"beschikbaarSubsidiePlafond":{"value":437501,"type":"Double"}}}</t>
  </si>
  <si>
    <t>{"variables":{"basisHoogteSubsidie":{"value":749,"type":"Double"},"beschikbaarSubsidiePlafond":{"value":1249,"type":"Double"}}}</t>
  </si>
  <si>
    <t>{"variables":{"basisHoogteSubsidie":{"value":749,"type":"Double"},"beschikbaarSubsidiePlafond":{"value":1,"type":"Double"}}}</t>
  </si>
  <si>
    <t>{"variables":{"basisHoogteSubsidie":{"value":750,"type":"Double"},"beschikbaarSubsidiePlafond":{"value":1249,"type":"Double"}}}</t>
  </si>
  <si>
    <t>{"variables":{"basisHoogteSubsidie":{"value":751,"type":"Double"},"beschikbaarSubsidiePlafond":{"value":1249,"type":"Double"}}}</t>
  </si>
  <si>
    <t>{"variables":{"gemaakteKosten":{"value":0,"type":"Double"},"minimaleNoodzakelijkeKosten":{"value":750,"type":"Double"},"subsidieMaximum":{"value":1250,"type":"Double"},"subsidieMinimum":{"value":750,"type":"Double"},"subsidiePercentage":{"value":0.25,"type":"Double"}}}</t>
  </si>
  <si>
    <t>{"variables":{"gemaakteKosten":{"value":10000,"type":"Double"},"minimaleNoodzakelijkeKosten":{"value":750,"type":"Double"},"subsidieMaximum":{"value":1250,"type":"Double"},"subsidieMinimum":{"value":750,"type":"Double"},"subsidiePercentage":{"value":0.25,"type":"Double"}}}</t>
  </si>
  <si>
    <t>{"variables":{"gemaakteKosten":{"value":2999,"type":"Double"},"minimaleNoodzakelijkeKosten":{"value":750,"type":"Double"},"subsidieMaximum":{"value":1250,"type":"Double"},"subsidieMinimum":{"value":750,"type":"Double"},"subsidiePercentage":{"value":0.25,"type":"Double"}}}</t>
  </si>
  <si>
    <t>{"variables":{"gemaakteKosten":{"value":3000,"type":"Double"},"minimaleNoodzakelijkeKosten":{"value":750,"type":"Double"},"subsidieMaximum":{"value":1250,"type":"Double"},"subsidieMinimum":{"value":750,"type":"Double"},"subsidiePercentage":{"value":0.25,"type":"Double"}}}</t>
  </si>
  <si>
    <t>{"variables":{"gemaakteKosten":{"value":3001,"type":"Double"},"minimaleNoodzakelijkeKosten":{"value":750,"type":"Double"},"subsidieMaximum":{"value":1250,"type":"Double"},"subsidieMinimum":{"value":750,"type":"Double"},"subsidiePercentage":{"value":0.25,"type":"Double"}}}</t>
  </si>
  <si>
    <t>{"variables":{"gemaakteKosten":{"value":4999,"type":"Double"},"minimaleNoodzakelijkeKosten":{"value":750,"type":"Double"},"subsidieMaximum":{"value":1250,"type":"Double"},"subsidieMinimum":{"value":750,"type":"Double"},"subsidiePercentage":{"value":0.25,"type":"Double"}}}</t>
  </si>
  <si>
    <t>{"variables":{"gemaakteKosten":{"value":5000,"type":"Double"},"minimaleNoodzakelijkeKosten":{"value":750,"type":"Double"},"subsidieMaximum":{"value":1250,"type":"Double"},"subsidieMinimum":{"value":750,"type":"Double"},"subsidiePercentage":{"value":0.25,"type":"Double"}}}</t>
  </si>
  <si>
    <t>{"variables":{"gemaakteKosten":{"value":5001,"type":"Double"},"minimaleNoodzakelijkeKosten":{"value":750,"type":"Double"},"subsidieMaximum":{"value":1250,"type":"Double"},"subsidieMinimum":{"value":750,"type":"Double"},"subsidiePercentage":{"value":0.25,"type":"Double"}}}</t>
  </si>
  <si>
    <t>{"variables":{"aanvraagDatum":{"value":"2025-12-31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</si>
  <si>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2025-12-31","type":"String"},"aanvragerType":{"value":"eigenaa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</si>
  <si>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2025-12-31","type":"String"},"aanvragerType":{"value":"huurde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</si>
  <si>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2026-01-11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</si>
  <si>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-01-12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</si>
  <si>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-01-12","type":"String"},"aanvragerType":{"value":"eigenaar","type":"String"},"plafondEigenaren":{"value":1000000,"type":"Double"},"plafondHuurders":{"value":1000000,"type":"Double"},"reedsGesubsidieerdEigenaren":{"value":0,"type":"Double"},"reedsGesubsidieerdHuurders":{"value":1000000,"type":"Double"}}}</t>
  </si>
  <si>
    <t>{"variables":{"aanvraagDatum":{"value":"2026-01-12","type":"String"},"aanvragerType":{"value":"eigenaar","type":"String"},"plafondEigenaren":{"value":1000000,"type":"Double"},"plafondHuurders":{"value":1000000,"type":"Double"},"reedsGesubsidieerdEigenaren":{"value":0,"type":"Double"},"reedsGesubsidieerdHuurders":{"value":1000001,"type":"Double"}}}</t>
  </si>
  <si>
    <t>{"variables":{"aanvraagDatum":{"value":"2026-01-12","type":"String"},"aanvragerType":{"value":"eigenaa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</si>
  <si>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2026-01-12","type":"String"},"aanvragerType":{"value":"eigenaar","type":"String"},"plafondEigenaren":{"value":437500,"type":"Double"},"plafondHuurders":{"value":437500,"type":"Double"},"reedsGesubsidieerdEigenaren":{"value":0,"type":"Double"},"reedsGesubsidieerdHuurders":{"value":1,"type":"Double"}}}</t>
  </si>
  <si>
    <t>{"variables":{"aanvraagDatum":{"value":"2026-01-12","type":"String"},"aanvragerType":{"value":"huurde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</si>
  <si>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-01-12","type":"String"},"aanvragerType":{"value":"huurder","type":"String"},"plafondEigenaren":{"value":1000000,"type":"Double"},"plafondHuurders":{"value":1000000,"type":"Double"},"reedsGesubsidieerdEigenaren":{"value":1000000,"type":"Double"},"reedsGesubsidieerdHuurders":{"value":0,"type":"Double"}}}</t>
  </si>
  <si>
    <t>{"variables":{"aanvraagDatum":{"value":"2026-01-12","type":"String"},"aanvragerType":{"value":"huurder","type":"String"},"plafondEigenaren":{"value":1000000,"type":"Double"},"plafondHuurders":{"value":1000000,"type":"Double"},"reedsGesubsidieerdEigenaren":{"value":1000001,"type":"Double"},"reedsGesubsidieerdHuurders":{"value":0,"type":"Double"}}}</t>
  </si>
  <si>
    <t>{"variables":{"aanvraagDatum":{"value":"2026-01-12","type":"String"},"aanvragerType":{"value":"huurde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</si>
  <si>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2026-01-12","type":"String"},"aanvragerType":{"value":"huurder","type":"String"},"plafondEigenaren":{"value":437500,"type":"Double"},"plafondHuurders":{"value":437500,"type":"Double"},"reedsGesubsidieerdEigenaren":{"value":0,"type":"Double"},"reedsGesubsidieerdHuurders":{"value":1,"type":"Double"}}}</t>
  </si>
  <si>
    <t>{"variables":{"aanvraagDatum":{"value":"2026-01-13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</si>
  <si>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-09-29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</si>
  <si>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-09-30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</si>
  <si>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</si>
  <si>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1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</si>
  <si>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437499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</si>
  <si>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437500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</si>
  <si>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437501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</si>
  <si>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874999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</si>
  <si>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875000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</si>
  <si>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875001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</si>
  <si>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999999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</si>
  <si>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1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</si>
  <si>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437499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</si>
  <si>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437500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</si>
  <si>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437501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</si>
  <si>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874999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</si>
  <si>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875000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</si>
  <si>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875001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</si>
  <si>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999999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</si>
  <si>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437500,"type":"Double"},"reedsGesubsidieerdEigenaren":{"value":0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</si>
  <si>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875000,"type":"Double"},"reedsGesubsidieerdEigenaren":{"value":0,"type":"Double"},"reedsGesubsidieerdHuurders":{"value":0,"type":"Double"}}}</t>
  </si>
  <si>
    <t>{"variables":{"aanvraagDatum":{"value":"2026-10-01","type":"String"},"aanvragerType":{"value":"eigenaar","type":"String"},"plafondEigenaren":{"value":437500,"type":"Double"},"plafondHuurders":{"value":1000000,"type":"Double"},"reedsGesubsidieerdEigenaren":{"value":0,"type":"Double"},"reedsGesubsidieerdHuurders":{"value":0,"type":"Double"}}}</t>
  </si>
  <si>
    <t>{"variables":{"aanvraagDatum":{"value":"2026-10-01","type":"String"},"aanvragerType":{"value":"eigenaa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</si>
  <si>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2026-10-01","type":"String"},"aanvragerType":{"value":"eigenaar","type":"String"},"plafondEigenaren":{"value":875000,"type":"Double"},"plafondHuurders":{"value":1000000,"type":"Double"},"reedsGesubsidieerdEigenaren":{"value":0,"type":"Double"},"reedsGesubsidieerdHuurders":{"value":0,"type":"Double"}}}</t>
  </si>
  <si>
    <t>{"variables":{"aanvraagDatum":{"value":"2026-10-01","type":"String"},"aanvragerType":{"value":"huurde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</si>
  <si>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-10-01","type":"String"},"aanvragerType":{"value":"huurde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</si>
  <si>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2026-10-01","type":"String"},"aanvragerType":{"value":"onbekend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</si>
  <si>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-10-02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</si>
  <si>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-12-30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</si>
  <si>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-12-31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</si>
  <si>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-12-31","type":"String"},"aanvragerType":{"value":"onbekend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</si>
  <si>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-01-01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</si>
  <si>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-01-01","type":"String"},"aanvragerType":{"value":"eigenaa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</si>
  <si>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2027-01-01","type":"String"},"aanvragerType":{"value":"eigenaar","type":"String"},"plafondEigenaren":{"value":437500,"type":"Double"},"plafondHuurders":{"value":437500,"type":"Double"},"reedsGesubsidieerdEigenaren":{"value":0,"type":"Double"},"reedsGesubsidieerdHuurders":{"value":1,"type":"Double"}}}</t>
  </si>
  <si>
    <t>{"variables":{"aanvraagDatum":{"value":"2027-01-01","type":"String"},"aanvragerType":{"value":"huurde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</si>
  <si>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-01-01","type":"String"},"aanvragerType":{"value":"huurde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</si>
  <si>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2027-01-01","type":"String"},"aanvragerType":{"value":"huurder","type":"String"},"plafondEigenaren":{"value":437500,"type":"Double"},"plafondHuurders":{"value":437500,"type":"Double"},"reedsGesubsidieerdEigenaren":{"value":0,"type":"Double"},"reedsGesubsidieerdHuurders":{"value":1,"type":"Double"}}}</t>
  </si>
  <si>
    <t>{"variables":{"aanvraagDatum":{"value":"2027-01-02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</si>
  <si>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-09-29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</si>
  <si>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-09-30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</si>
  <si>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-10-01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</si>
  <si>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-10-01","type":"String"},"aanvragerType":{"value":"eigenaa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</si>
  <si>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2027-10-01","type":"String"},"aanvragerType":{"value":"huurde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</si>
  <si>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2027-10-02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</si>
  <si>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-12-30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</si>
  <si>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-12-31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</si>
  <si>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2028-01-01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</si>
  <si>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2028-01-01","type":"String"},"aanvragerType":{"value":"eigenaa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</si>
  <si>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2029-01-01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</si>
  <si>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{"variables":{}}</t>
  </si>
  <si>
    <t>{"variables":{"aanvraagDatum":{"value":"2025-12-31","type":"String"}}}</t>
  </si>
  <si>
    <t>plafondEigenaren=NOT_FOUND, plafondHuurders=NOT_FOUND</t>
  </si>
  <si>
    <t>{"variables":{"aanvraagDatum":{"value":"2026-01-01","type":"String"}}}</t>
  </si>
  <si>
    <t>{"variables":{"aanvraagDatum":{"value":"2026-12-31","type":"String"}}}</t>
  </si>
  <si>
    <t>{"variables":{"aanvraagDatum":{"value":"2027-01-01","type":"String"}}}</t>
  </si>
  <si>
    <t>{"variables":{"aanvraagDatum":{"value":"2027-12-31","type":"String"}}}</t>
  </si>
  <si>
    <t>{"variables":{"aanvraagDatum":{"value":"2028-01-01","type":"String"}}}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</si>
</sst>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1" fillId="2" borderId="0" xfId="0" applyFont="1" applyFill="1"/>
    <xf numFmtId="49" fontId="0" fillId="3" borderId="0" xfId="0" applyNumberFormat="1" applyFill="1"/>
    <xf numFmtId="0" fontId="0" fillId="0" borderId="0" xfId="0" applyAlignment="1">
      <alignment wrapText="1"/>
    </xf>
    <xf numFmtId="0" fontId="0" fillId="4" borderId="0" xfId="0" applyFill="1"/>
    <xf numFmtId="0" fontId="0" fillId="5" borderId="0" xfId="0" applyFill="1"/>
    <xf numFmtId="0" fontId="2" fillId="0" borderId="0" xfId="0" applyFont="1"/>
    <xf numFmtId="0" fontId="0" fillId="0" borderId="0" xfId="0"/>
    <xf numFmtId="0" fontId="3" fillId="0" borderId="0" xfId="0" applyFont="1"/>
    <xf numFmtId="0" fontId="1" fillId="0" borderId="0" xfId="0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c:style val="10"/>
  <c:chart>
    <c:title>
      <c:tx>
        <c:rich>
          <a:bodyPr/>
          <a:lstStyle/>
          <a:p>
            <a:pPr>
              <a:defRPr/>
            </a:pPr>
            <a:r>
              <a:rPr lang="nl-NL"/>
              <a:t>MC/DC cases by decision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Dashboard!$E$20</c:f>
              <c:strCache>
                <c:ptCount val="1"/>
                <c:pt idx="0">
                  <c:v>Total cases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Dashboard!$A$21:$A$25</c:f>
              <c:strCache>
                <c:ptCount val="5"/>
                <c:pt idx="0">
                  <c:v>BehaalbareHoogteSubsidie</c:v>
                </c:pt>
                <c:pt idx="1">
                  <c:v>BerekenBasisHoogteSubsidie</c:v>
                </c:pt>
                <c:pt idx="2">
                  <c:v>BerekenBeschikbaarSubsidiePlafond</c:v>
                </c:pt>
                <c:pt idx="3">
                  <c:v>SubsidieConstantenThuisbatterij</c:v>
                </c:pt>
                <c:pt idx="4">
                  <c:v>jaarGebondenBudget</c:v>
                </c:pt>
              </c:strCache>
            </c:strRef>
          </c:cat>
          <c:val>
            <c:numRef>
              <c:f>Dashboard!$E$21:$E$25</c:f>
              <c:numCache>
                <c:formatCode>General</c:formatCode>
                <c:ptCount val="5"/>
                <c:pt idx="0">
                  <c:v>19</c:v>
                </c:pt>
                <c:pt idx="1">
                  <c:v>8</c:v>
                </c:pt>
                <c:pt idx="2">
                  <c:v>64</c:v>
                </c:pt>
                <c:pt idx="3">
                  <c:v>1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45-40DF-AF5E-A59FAD6B7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1</xdr:col>
          <xdr:colOff>476250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 All Tests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3</xdr:row>
      <xdr:rowOff>0</xdr:rowOff>
    </xdr:from>
    <xdr:to>
      <xdr:col>15</xdr:col>
      <xdr:colOff>0</xdr:colOff>
      <xdr:row>19</xdr:row>
      <xdr:rowOff>0</xdr:rowOff>
    </xdr:to>
    <xdr:graphicFrame macro="">
      <xdr:nvGraphicFramePr>
        <xdr:cNvPr id="2" name="DecisionCasesPieChart">
          <a:extLst>
            <a:ext uri="{FF2B5EF4-FFF2-40B4-BE49-F238E27FC236}">
              <a16:creationId xmlns:a16="http://schemas.microsoft.com/office/drawing/2014/main" id="{00000000-0008-0000-0000-0000000000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63500</xdr:rowOff>
        </xdr:from>
        <xdr:to>
          <xdr:col>20</xdr:col>
          <xdr:colOff>6350</xdr:colOff>
          <xdr:row>4</xdr:row>
          <xdr:rowOff>368300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63500</xdr:rowOff>
        </xdr:from>
        <xdr:to>
          <xdr:col>20</xdr:col>
          <xdr:colOff>6350</xdr:colOff>
          <xdr:row>5</xdr:row>
          <xdr:rowOff>368300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63500</xdr:rowOff>
        </xdr:from>
        <xdr:to>
          <xdr:col>20</xdr:col>
          <xdr:colOff>6350</xdr:colOff>
          <xdr:row>6</xdr:row>
          <xdr:rowOff>368300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63500</xdr:rowOff>
        </xdr:from>
        <xdr:to>
          <xdr:col>20</xdr:col>
          <xdr:colOff>6350</xdr:colOff>
          <xdr:row>7</xdr:row>
          <xdr:rowOff>368300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63500</xdr:rowOff>
        </xdr:from>
        <xdr:to>
          <xdr:col>20</xdr:col>
          <xdr:colOff>6350</xdr:colOff>
          <xdr:row>8</xdr:row>
          <xdr:rowOff>368300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63500</xdr:rowOff>
        </xdr:from>
        <xdr:to>
          <xdr:col>20</xdr:col>
          <xdr:colOff>6350</xdr:colOff>
          <xdr:row>9</xdr:row>
          <xdr:rowOff>368300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63500</xdr:rowOff>
        </xdr:from>
        <xdr:to>
          <xdr:col>20</xdr:col>
          <xdr:colOff>6350</xdr:colOff>
          <xdr:row>10</xdr:row>
          <xdr:rowOff>368300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63500</xdr:rowOff>
        </xdr:from>
        <xdr:to>
          <xdr:col>20</xdr:col>
          <xdr:colOff>6350</xdr:colOff>
          <xdr:row>11</xdr:row>
          <xdr:rowOff>368300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63500</xdr:rowOff>
        </xdr:from>
        <xdr:to>
          <xdr:col>20</xdr:col>
          <xdr:colOff>6350</xdr:colOff>
          <xdr:row>12</xdr:row>
          <xdr:rowOff>368300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13</xdr:row>
          <xdr:rowOff>63500</xdr:rowOff>
        </xdr:from>
        <xdr:to>
          <xdr:col>20</xdr:col>
          <xdr:colOff>6350</xdr:colOff>
          <xdr:row>13</xdr:row>
          <xdr:rowOff>368300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63500</xdr:rowOff>
        </xdr:from>
        <xdr:to>
          <xdr:col>20</xdr:col>
          <xdr:colOff>6350</xdr:colOff>
          <xdr:row>14</xdr:row>
          <xdr:rowOff>368300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15</xdr:row>
          <xdr:rowOff>63500</xdr:rowOff>
        </xdr:from>
        <xdr:to>
          <xdr:col>20</xdr:col>
          <xdr:colOff>6350</xdr:colOff>
          <xdr:row>15</xdr:row>
          <xdr:rowOff>368300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16</xdr:row>
          <xdr:rowOff>63500</xdr:rowOff>
        </xdr:from>
        <xdr:to>
          <xdr:col>20</xdr:col>
          <xdr:colOff>6350</xdr:colOff>
          <xdr:row>16</xdr:row>
          <xdr:rowOff>368300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63500</xdr:rowOff>
        </xdr:from>
        <xdr:to>
          <xdr:col>20</xdr:col>
          <xdr:colOff>6350</xdr:colOff>
          <xdr:row>17</xdr:row>
          <xdr:rowOff>368300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18</xdr:row>
          <xdr:rowOff>63500</xdr:rowOff>
        </xdr:from>
        <xdr:to>
          <xdr:col>20</xdr:col>
          <xdr:colOff>6350</xdr:colOff>
          <xdr:row>18</xdr:row>
          <xdr:rowOff>368300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63500</xdr:rowOff>
        </xdr:from>
        <xdr:to>
          <xdr:col>20</xdr:col>
          <xdr:colOff>6350</xdr:colOff>
          <xdr:row>19</xdr:row>
          <xdr:rowOff>368300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20</xdr:row>
          <xdr:rowOff>63500</xdr:rowOff>
        </xdr:from>
        <xdr:to>
          <xdr:col>20</xdr:col>
          <xdr:colOff>6350</xdr:colOff>
          <xdr:row>20</xdr:row>
          <xdr:rowOff>368300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63500</xdr:rowOff>
        </xdr:from>
        <xdr:to>
          <xdr:col>20</xdr:col>
          <xdr:colOff>6350</xdr:colOff>
          <xdr:row>21</xdr:row>
          <xdr:rowOff>368300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63500</xdr:rowOff>
        </xdr:from>
        <xdr:to>
          <xdr:col>20</xdr:col>
          <xdr:colOff>6350</xdr:colOff>
          <xdr:row>22</xdr:row>
          <xdr:rowOff>368300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63500</xdr:rowOff>
        </xdr:from>
        <xdr:to>
          <xdr:col>20</xdr:col>
          <xdr:colOff>6350</xdr:colOff>
          <xdr:row>23</xdr:row>
          <xdr:rowOff>368300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63500</xdr:rowOff>
        </xdr:from>
        <xdr:to>
          <xdr:col>20</xdr:col>
          <xdr:colOff>6350</xdr:colOff>
          <xdr:row>24</xdr:row>
          <xdr:rowOff>368300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63500</xdr:rowOff>
        </xdr:from>
        <xdr:to>
          <xdr:col>20</xdr:col>
          <xdr:colOff>6350</xdr:colOff>
          <xdr:row>25</xdr:row>
          <xdr:rowOff>368300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63500</xdr:rowOff>
        </xdr:from>
        <xdr:to>
          <xdr:col>20</xdr:col>
          <xdr:colOff>6350</xdr:colOff>
          <xdr:row>26</xdr:row>
          <xdr:rowOff>368300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27</xdr:row>
          <xdr:rowOff>63500</xdr:rowOff>
        </xdr:from>
        <xdr:to>
          <xdr:col>20</xdr:col>
          <xdr:colOff>6350</xdr:colOff>
          <xdr:row>27</xdr:row>
          <xdr:rowOff>368300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28</xdr:row>
          <xdr:rowOff>63500</xdr:rowOff>
        </xdr:from>
        <xdr:to>
          <xdr:col>20</xdr:col>
          <xdr:colOff>6350</xdr:colOff>
          <xdr:row>28</xdr:row>
          <xdr:rowOff>368300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29</xdr:row>
          <xdr:rowOff>63500</xdr:rowOff>
        </xdr:from>
        <xdr:to>
          <xdr:col>20</xdr:col>
          <xdr:colOff>6350</xdr:colOff>
          <xdr:row>29</xdr:row>
          <xdr:rowOff>368300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30</xdr:row>
          <xdr:rowOff>63500</xdr:rowOff>
        </xdr:from>
        <xdr:to>
          <xdr:col>20</xdr:col>
          <xdr:colOff>6350</xdr:colOff>
          <xdr:row>30</xdr:row>
          <xdr:rowOff>368300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63500</xdr:rowOff>
        </xdr:from>
        <xdr:to>
          <xdr:col>20</xdr:col>
          <xdr:colOff>6350</xdr:colOff>
          <xdr:row>31</xdr:row>
          <xdr:rowOff>368300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63500</xdr:rowOff>
        </xdr:from>
        <xdr:to>
          <xdr:col>20</xdr:col>
          <xdr:colOff>6350</xdr:colOff>
          <xdr:row>32</xdr:row>
          <xdr:rowOff>368300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63500</xdr:rowOff>
        </xdr:from>
        <xdr:to>
          <xdr:col>20</xdr:col>
          <xdr:colOff>6350</xdr:colOff>
          <xdr:row>33</xdr:row>
          <xdr:rowOff>368300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34</xdr:row>
          <xdr:rowOff>63500</xdr:rowOff>
        </xdr:from>
        <xdr:to>
          <xdr:col>20</xdr:col>
          <xdr:colOff>6350</xdr:colOff>
          <xdr:row>34</xdr:row>
          <xdr:rowOff>368300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63500</xdr:rowOff>
        </xdr:from>
        <xdr:to>
          <xdr:col>20</xdr:col>
          <xdr:colOff>6350</xdr:colOff>
          <xdr:row>35</xdr:row>
          <xdr:rowOff>368300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63500</xdr:rowOff>
        </xdr:from>
        <xdr:to>
          <xdr:col>20</xdr:col>
          <xdr:colOff>6350</xdr:colOff>
          <xdr:row>36</xdr:row>
          <xdr:rowOff>368300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37</xdr:row>
          <xdr:rowOff>63500</xdr:rowOff>
        </xdr:from>
        <xdr:to>
          <xdr:col>20</xdr:col>
          <xdr:colOff>6350</xdr:colOff>
          <xdr:row>37</xdr:row>
          <xdr:rowOff>368300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38</xdr:row>
          <xdr:rowOff>63500</xdr:rowOff>
        </xdr:from>
        <xdr:to>
          <xdr:col>20</xdr:col>
          <xdr:colOff>6350</xdr:colOff>
          <xdr:row>38</xdr:row>
          <xdr:rowOff>368300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39</xdr:row>
          <xdr:rowOff>63500</xdr:rowOff>
        </xdr:from>
        <xdr:to>
          <xdr:col>20</xdr:col>
          <xdr:colOff>6350</xdr:colOff>
          <xdr:row>39</xdr:row>
          <xdr:rowOff>368300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40</xdr:row>
          <xdr:rowOff>63500</xdr:rowOff>
        </xdr:from>
        <xdr:to>
          <xdr:col>20</xdr:col>
          <xdr:colOff>6350</xdr:colOff>
          <xdr:row>40</xdr:row>
          <xdr:rowOff>368300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41</xdr:row>
          <xdr:rowOff>63500</xdr:rowOff>
        </xdr:from>
        <xdr:to>
          <xdr:col>20</xdr:col>
          <xdr:colOff>6350</xdr:colOff>
          <xdr:row>41</xdr:row>
          <xdr:rowOff>368300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42</xdr:row>
          <xdr:rowOff>63500</xdr:rowOff>
        </xdr:from>
        <xdr:to>
          <xdr:col>20</xdr:col>
          <xdr:colOff>6350</xdr:colOff>
          <xdr:row>42</xdr:row>
          <xdr:rowOff>368300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43</xdr:row>
          <xdr:rowOff>63500</xdr:rowOff>
        </xdr:from>
        <xdr:to>
          <xdr:col>20</xdr:col>
          <xdr:colOff>6350</xdr:colOff>
          <xdr:row>43</xdr:row>
          <xdr:rowOff>368300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44</xdr:row>
          <xdr:rowOff>63500</xdr:rowOff>
        </xdr:from>
        <xdr:to>
          <xdr:col>20</xdr:col>
          <xdr:colOff>6350</xdr:colOff>
          <xdr:row>44</xdr:row>
          <xdr:rowOff>368300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45</xdr:row>
          <xdr:rowOff>63500</xdr:rowOff>
        </xdr:from>
        <xdr:to>
          <xdr:col>20</xdr:col>
          <xdr:colOff>6350</xdr:colOff>
          <xdr:row>45</xdr:row>
          <xdr:rowOff>368300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46</xdr:row>
          <xdr:rowOff>63500</xdr:rowOff>
        </xdr:from>
        <xdr:to>
          <xdr:col>20</xdr:col>
          <xdr:colOff>6350</xdr:colOff>
          <xdr:row>46</xdr:row>
          <xdr:rowOff>368300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47</xdr:row>
          <xdr:rowOff>63500</xdr:rowOff>
        </xdr:from>
        <xdr:to>
          <xdr:col>20</xdr:col>
          <xdr:colOff>6350</xdr:colOff>
          <xdr:row>47</xdr:row>
          <xdr:rowOff>368300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48</xdr:row>
          <xdr:rowOff>63500</xdr:rowOff>
        </xdr:from>
        <xdr:to>
          <xdr:col>20</xdr:col>
          <xdr:colOff>6350</xdr:colOff>
          <xdr:row>48</xdr:row>
          <xdr:rowOff>368300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49</xdr:row>
          <xdr:rowOff>63500</xdr:rowOff>
        </xdr:from>
        <xdr:to>
          <xdr:col>20</xdr:col>
          <xdr:colOff>6350</xdr:colOff>
          <xdr:row>49</xdr:row>
          <xdr:rowOff>368300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50</xdr:row>
          <xdr:rowOff>63500</xdr:rowOff>
        </xdr:from>
        <xdr:to>
          <xdr:col>20</xdr:col>
          <xdr:colOff>6350</xdr:colOff>
          <xdr:row>50</xdr:row>
          <xdr:rowOff>368300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51</xdr:row>
          <xdr:rowOff>63500</xdr:rowOff>
        </xdr:from>
        <xdr:to>
          <xdr:col>20</xdr:col>
          <xdr:colOff>6350</xdr:colOff>
          <xdr:row>51</xdr:row>
          <xdr:rowOff>368300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52</xdr:row>
          <xdr:rowOff>63500</xdr:rowOff>
        </xdr:from>
        <xdr:to>
          <xdr:col>20</xdr:col>
          <xdr:colOff>6350</xdr:colOff>
          <xdr:row>52</xdr:row>
          <xdr:rowOff>368300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53</xdr:row>
          <xdr:rowOff>63500</xdr:rowOff>
        </xdr:from>
        <xdr:to>
          <xdr:col>20</xdr:col>
          <xdr:colOff>6350</xdr:colOff>
          <xdr:row>53</xdr:row>
          <xdr:rowOff>368300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54</xdr:row>
          <xdr:rowOff>63500</xdr:rowOff>
        </xdr:from>
        <xdr:to>
          <xdr:col>20</xdr:col>
          <xdr:colOff>6350</xdr:colOff>
          <xdr:row>54</xdr:row>
          <xdr:rowOff>368300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55</xdr:row>
          <xdr:rowOff>63500</xdr:rowOff>
        </xdr:from>
        <xdr:to>
          <xdr:col>20</xdr:col>
          <xdr:colOff>6350</xdr:colOff>
          <xdr:row>55</xdr:row>
          <xdr:rowOff>368300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56</xdr:row>
          <xdr:rowOff>63500</xdr:rowOff>
        </xdr:from>
        <xdr:to>
          <xdr:col>20</xdr:col>
          <xdr:colOff>6350</xdr:colOff>
          <xdr:row>56</xdr:row>
          <xdr:rowOff>368300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57</xdr:row>
          <xdr:rowOff>63500</xdr:rowOff>
        </xdr:from>
        <xdr:to>
          <xdr:col>20</xdr:col>
          <xdr:colOff>6350</xdr:colOff>
          <xdr:row>57</xdr:row>
          <xdr:rowOff>368300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58</xdr:row>
          <xdr:rowOff>63500</xdr:rowOff>
        </xdr:from>
        <xdr:to>
          <xdr:col>20</xdr:col>
          <xdr:colOff>6350</xdr:colOff>
          <xdr:row>58</xdr:row>
          <xdr:rowOff>368300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59</xdr:row>
          <xdr:rowOff>63500</xdr:rowOff>
        </xdr:from>
        <xdr:to>
          <xdr:col>20</xdr:col>
          <xdr:colOff>6350</xdr:colOff>
          <xdr:row>59</xdr:row>
          <xdr:rowOff>368300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60</xdr:row>
          <xdr:rowOff>63500</xdr:rowOff>
        </xdr:from>
        <xdr:to>
          <xdr:col>20</xdr:col>
          <xdr:colOff>6350</xdr:colOff>
          <xdr:row>60</xdr:row>
          <xdr:rowOff>368300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61</xdr:row>
          <xdr:rowOff>63500</xdr:rowOff>
        </xdr:from>
        <xdr:to>
          <xdr:col>20</xdr:col>
          <xdr:colOff>6350</xdr:colOff>
          <xdr:row>61</xdr:row>
          <xdr:rowOff>368300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62</xdr:row>
          <xdr:rowOff>63500</xdr:rowOff>
        </xdr:from>
        <xdr:to>
          <xdr:col>20</xdr:col>
          <xdr:colOff>6350</xdr:colOff>
          <xdr:row>62</xdr:row>
          <xdr:rowOff>368300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63</xdr:row>
          <xdr:rowOff>63500</xdr:rowOff>
        </xdr:from>
        <xdr:to>
          <xdr:col>20</xdr:col>
          <xdr:colOff>6350</xdr:colOff>
          <xdr:row>63</xdr:row>
          <xdr:rowOff>368300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64</xdr:row>
          <xdr:rowOff>63500</xdr:rowOff>
        </xdr:from>
        <xdr:to>
          <xdr:col>20</xdr:col>
          <xdr:colOff>6350</xdr:colOff>
          <xdr:row>64</xdr:row>
          <xdr:rowOff>368300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65</xdr:row>
          <xdr:rowOff>63500</xdr:rowOff>
        </xdr:from>
        <xdr:to>
          <xdr:col>20</xdr:col>
          <xdr:colOff>6350</xdr:colOff>
          <xdr:row>65</xdr:row>
          <xdr:rowOff>368300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66</xdr:row>
          <xdr:rowOff>63500</xdr:rowOff>
        </xdr:from>
        <xdr:to>
          <xdr:col>20</xdr:col>
          <xdr:colOff>6350</xdr:colOff>
          <xdr:row>66</xdr:row>
          <xdr:rowOff>368300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67</xdr:row>
          <xdr:rowOff>63500</xdr:rowOff>
        </xdr:from>
        <xdr:to>
          <xdr:col>20</xdr:col>
          <xdr:colOff>6350</xdr:colOff>
          <xdr:row>67</xdr:row>
          <xdr:rowOff>368300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68</xdr:row>
          <xdr:rowOff>63500</xdr:rowOff>
        </xdr:from>
        <xdr:to>
          <xdr:col>20</xdr:col>
          <xdr:colOff>6350</xdr:colOff>
          <xdr:row>68</xdr:row>
          <xdr:rowOff>368300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69</xdr:row>
          <xdr:rowOff>63500</xdr:rowOff>
        </xdr:from>
        <xdr:to>
          <xdr:col>20</xdr:col>
          <xdr:colOff>6350</xdr:colOff>
          <xdr:row>69</xdr:row>
          <xdr:rowOff>368300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70</xdr:row>
          <xdr:rowOff>63500</xdr:rowOff>
        </xdr:from>
        <xdr:to>
          <xdr:col>20</xdr:col>
          <xdr:colOff>6350</xdr:colOff>
          <xdr:row>70</xdr:row>
          <xdr:rowOff>368300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71</xdr:row>
          <xdr:rowOff>63500</xdr:rowOff>
        </xdr:from>
        <xdr:to>
          <xdr:col>20</xdr:col>
          <xdr:colOff>6350</xdr:colOff>
          <xdr:row>71</xdr:row>
          <xdr:rowOff>368300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72</xdr:row>
          <xdr:rowOff>63500</xdr:rowOff>
        </xdr:from>
        <xdr:to>
          <xdr:col>20</xdr:col>
          <xdr:colOff>6350</xdr:colOff>
          <xdr:row>72</xdr:row>
          <xdr:rowOff>368300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73</xdr:row>
          <xdr:rowOff>63500</xdr:rowOff>
        </xdr:from>
        <xdr:to>
          <xdr:col>20</xdr:col>
          <xdr:colOff>6350</xdr:colOff>
          <xdr:row>73</xdr:row>
          <xdr:rowOff>368300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74</xdr:row>
          <xdr:rowOff>63500</xdr:rowOff>
        </xdr:from>
        <xdr:to>
          <xdr:col>20</xdr:col>
          <xdr:colOff>6350</xdr:colOff>
          <xdr:row>74</xdr:row>
          <xdr:rowOff>368300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75</xdr:row>
          <xdr:rowOff>63500</xdr:rowOff>
        </xdr:from>
        <xdr:to>
          <xdr:col>20</xdr:col>
          <xdr:colOff>6350</xdr:colOff>
          <xdr:row>75</xdr:row>
          <xdr:rowOff>368300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76</xdr:row>
          <xdr:rowOff>63500</xdr:rowOff>
        </xdr:from>
        <xdr:to>
          <xdr:col>20</xdr:col>
          <xdr:colOff>6350</xdr:colOff>
          <xdr:row>76</xdr:row>
          <xdr:rowOff>368300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77</xdr:row>
          <xdr:rowOff>63500</xdr:rowOff>
        </xdr:from>
        <xdr:to>
          <xdr:col>20</xdr:col>
          <xdr:colOff>6350</xdr:colOff>
          <xdr:row>77</xdr:row>
          <xdr:rowOff>368300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78</xdr:row>
          <xdr:rowOff>63500</xdr:rowOff>
        </xdr:from>
        <xdr:to>
          <xdr:col>20</xdr:col>
          <xdr:colOff>6350</xdr:colOff>
          <xdr:row>78</xdr:row>
          <xdr:rowOff>368300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79</xdr:row>
          <xdr:rowOff>63500</xdr:rowOff>
        </xdr:from>
        <xdr:to>
          <xdr:col>20</xdr:col>
          <xdr:colOff>6350</xdr:colOff>
          <xdr:row>79</xdr:row>
          <xdr:rowOff>368300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80</xdr:row>
          <xdr:rowOff>63500</xdr:rowOff>
        </xdr:from>
        <xdr:to>
          <xdr:col>20</xdr:col>
          <xdr:colOff>6350</xdr:colOff>
          <xdr:row>80</xdr:row>
          <xdr:rowOff>368300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81</xdr:row>
          <xdr:rowOff>63500</xdr:rowOff>
        </xdr:from>
        <xdr:to>
          <xdr:col>20</xdr:col>
          <xdr:colOff>6350</xdr:colOff>
          <xdr:row>81</xdr:row>
          <xdr:rowOff>368300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82</xdr:row>
          <xdr:rowOff>63500</xdr:rowOff>
        </xdr:from>
        <xdr:to>
          <xdr:col>20</xdr:col>
          <xdr:colOff>6350</xdr:colOff>
          <xdr:row>82</xdr:row>
          <xdr:rowOff>368300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83</xdr:row>
          <xdr:rowOff>63500</xdr:rowOff>
        </xdr:from>
        <xdr:to>
          <xdr:col>20</xdr:col>
          <xdr:colOff>6350</xdr:colOff>
          <xdr:row>83</xdr:row>
          <xdr:rowOff>368300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84</xdr:row>
          <xdr:rowOff>63500</xdr:rowOff>
        </xdr:from>
        <xdr:to>
          <xdr:col>20</xdr:col>
          <xdr:colOff>6350</xdr:colOff>
          <xdr:row>84</xdr:row>
          <xdr:rowOff>368300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85</xdr:row>
          <xdr:rowOff>63500</xdr:rowOff>
        </xdr:from>
        <xdr:to>
          <xdr:col>20</xdr:col>
          <xdr:colOff>6350</xdr:colOff>
          <xdr:row>85</xdr:row>
          <xdr:rowOff>368300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86</xdr:row>
          <xdr:rowOff>63500</xdr:rowOff>
        </xdr:from>
        <xdr:to>
          <xdr:col>20</xdr:col>
          <xdr:colOff>6350</xdr:colOff>
          <xdr:row>86</xdr:row>
          <xdr:rowOff>368300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87</xdr:row>
          <xdr:rowOff>63500</xdr:rowOff>
        </xdr:from>
        <xdr:to>
          <xdr:col>20</xdr:col>
          <xdr:colOff>6350</xdr:colOff>
          <xdr:row>87</xdr:row>
          <xdr:rowOff>368300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88</xdr:row>
          <xdr:rowOff>63500</xdr:rowOff>
        </xdr:from>
        <xdr:to>
          <xdr:col>20</xdr:col>
          <xdr:colOff>6350</xdr:colOff>
          <xdr:row>88</xdr:row>
          <xdr:rowOff>368300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89</xdr:row>
          <xdr:rowOff>63500</xdr:rowOff>
        </xdr:from>
        <xdr:to>
          <xdr:col>20</xdr:col>
          <xdr:colOff>6350</xdr:colOff>
          <xdr:row>89</xdr:row>
          <xdr:rowOff>368300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90</xdr:row>
          <xdr:rowOff>63500</xdr:rowOff>
        </xdr:from>
        <xdr:to>
          <xdr:col>20</xdr:col>
          <xdr:colOff>6350</xdr:colOff>
          <xdr:row>90</xdr:row>
          <xdr:rowOff>368300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91</xdr:row>
          <xdr:rowOff>63500</xdr:rowOff>
        </xdr:from>
        <xdr:to>
          <xdr:col>20</xdr:col>
          <xdr:colOff>6350</xdr:colOff>
          <xdr:row>91</xdr:row>
          <xdr:rowOff>368300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92</xdr:row>
          <xdr:rowOff>63500</xdr:rowOff>
        </xdr:from>
        <xdr:to>
          <xdr:col>20</xdr:col>
          <xdr:colOff>6350</xdr:colOff>
          <xdr:row>92</xdr:row>
          <xdr:rowOff>368300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93</xdr:row>
          <xdr:rowOff>63500</xdr:rowOff>
        </xdr:from>
        <xdr:to>
          <xdr:col>20</xdr:col>
          <xdr:colOff>6350</xdr:colOff>
          <xdr:row>93</xdr:row>
          <xdr:rowOff>368300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94</xdr:row>
          <xdr:rowOff>63500</xdr:rowOff>
        </xdr:from>
        <xdr:to>
          <xdr:col>20</xdr:col>
          <xdr:colOff>6350</xdr:colOff>
          <xdr:row>94</xdr:row>
          <xdr:rowOff>368300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95</xdr:row>
          <xdr:rowOff>63500</xdr:rowOff>
        </xdr:from>
        <xdr:to>
          <xdr:col>20</xdr:col>
          <xdr:colOff>6350</xdr:colOff>
          <xdr:row>95</xdr:row>
          <xdr:rowOff>368300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96</xdr:row>
          <xdr:rowOff>63500</xdr:rowOff>
        </xdr:from>
        <xdr:to>
          <xdr:col>20</xdr:col>
          <xdr:colOff>6350</xdr:colOff>
          <xdr:row>96</xdr:row>
          <xdr:rowOff>368300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97</xdr:row>
          <xdr:rowOff>63500</xdr:rowOff>
        </xdr:from>
        <xdr:to>
          <xdr:col>20</xdr:col>
          <xdr:colOff>6350</xdr:colOff>
          <xdr:row>97</xdr:row>
          <xdr:rowOff>368300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98</xdr:row>
          <xdr:rowOff>63500</xdr:rowOff>
        </xdr:from>
        <xdr:to>
          <xdr:col>20</xdr:col>
          <xdr:colOff>6350</xdr:colOff>
          <xdr:row>98</xdr:row>
          <xdr:rowOff>368300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99</xdr:row>
          <xdr:rowOff>63500</xdr:rowOff>
        </xdr:from>
        <xdr:to>
          <xdr:col>20</xdr:col>
          <xdr:colOff>6350</xdr:colOff>
          <xdr:row>99</xdr:row>
          <xdr:rowOff>368300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100</xdr:row>
          <xdr:rowOff>63500</xdr:rowOff>
        </xdr:from>
        <xdr:to>
          <xdr:col>20</xdr:col>
          <xdr:colOff>6350</xdr:colOff>
          <xdr:row>100</xdr:row>
          <xdr:rowOff>368300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101</xdr:row>
          <xdr:rowOff>63500</xdr:rowOff>
        </xdr:from>
        <xdr:to>
          <xdr:col>20</xdr:col>
          <xdr:colOff>6350</xdr:colOff>
          <xdr:row>101</xdr:row>
          <xdr:rowOff>368300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5.xml"/><Relationship Id="rId21" Type="http://schemas.openxmlformats.org/officeDocument/2006/relationships/ctrlProp" Target="../ctrlProps/ctrlProp20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63" Type="http://schemas.openxmlformats.org/officeDocument/2006/relationships/ctrlProp" Target="../ctrlProps/ctrlProp62.xml"/><Relationship Id="rId68" Type="http://schemas.openxmlformats.org/officeDocument/2006/relationships/ctrlProp" Target="../ctrlProps/ctrlProp67.xml"/><Relationship Id="rId84" Type="http://schemas.openxmlformats.org/officeDocument/2006/relationships/ctrlProp" Target="../ctrlProps/ctrlProp83.xml"/><Relationship Id="rId89" Type="http://schemas.openxmlformats.org/officeDocument/2006/relationships/ctrlProp" Target="../ctrlProps/ctrlProp88.xml"/><Relationship Id="rId16" Type="http://schemas.openxmlformats.org/officeDocument/2006/relationships/ctrlProp" Target="../ctrlProps/ctrlProp15.xml"/><Relationship Id="rId11" Type="http://schemas.openxmlformats.org/officeDocument/2006/relationships/ctrlProp" Target="../ctrlProps/ctrlProp10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53" Type="http://schemas.openxmlformats.org/officeDocument/2006/relationships/ctrlProp" Target="../ctrlProps/ctrlProp52.xml"/><Relationship Id="rId58" Type="http://schemas.openxmlformats.org/officeDocument/2006/relationships/ctrlProp" Target="../ctrlProps/ctrlProp57.xml"/><Relationship Id="rId74" Type="http://schemas.openxmlformats.org/officeDocument/2006/relationships/ctrlProp" Target="../ctrlProps/ctrlProp73.xml"/><Relationship Id="rId79" Type="http://schemas.openxmlformats.org/officeDocument/2006/relationships/ctrlProp" Target="../ctrlProps/ctrlProp78.xml"/><Relationship Id="rId5" Type="http://schemas.openxmlformats.org/officeDocument/2006/relationships/ctrlProp" Target="../ctrlProps/ctrlProp4.xml"/><Relationship Id="rId90" Type="http://schemas.openxmlformats.org/officeDocument/2006/relationships/ctrlProp" Target="../ctrlProps/ctrlProp89.xml"/><Relationship Id="rId95" Type="http://schemas.openxmlformats.org/officeDocument/2006/relationships/ctrlProp" Target="../ctrlProps/ctrlProp94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64" Type="http://schemas.openxmlformats.org/officeDocument/2006/relationships/ctrlProp" Target="../ctrlProps/ctrlProp63.xml"/><Relationship Id="rId69" Type="http://schemas.openxmlformats.org/officeDocument/2006/relationships/ctrlProp" Target="../ctrlProps/ctrlProp68.xml"/><Relationship Id="rId80" Type="http://schemas.openxmlformats.org/officeDocument/2006/relationships/ctrlProp" Target="../ctrlProps/ctrlProp79.xml"/><Relationship Id="rId85" Type="http://schemas.openxmlformats.org/officeDocument/2006/relationships/ctrlProp" Target="../ctrlProps/ctrlProp84.xml"/><Relationship Id="rId3" Type="http://schemas.openxmlformats.org/officeDocument/2006/relationships/ctrlProp" Target="../ctrlProps/ctrlProp2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59" Type="http://schemas.openxmlformats.org/officeDocument/2006/relationships/ctrlProp" Target="../ctrlProps/ctrlProp58.xml"/><Relationship Id="rId67" Type="http://schemas.openxmlformats.org/officeDocument/2006/relationships/ctrlProp" Target="../ctrlProps/ctrlProp66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54" Type="http://schemas.openxmlformats.org/officeDocument/2006/relationships/ctrlProp" Target="../ctrlProps/ctrlProp53.xml"/><Relationship Id="rId62" Type="http://schemas.openxmlformats.org/officeDocument/2006/relationships/ctrlProp" Target="../ctrlProps/ctrlProp61.xml"/><Relationship Id="rId70" Type="http://schemas.openxmlformats.org/officeDocument/2006/relationships/ctrlProp" Target="../ctrlProps/ctrlProp69.xml"/><Relationship Id="rId75" Type="http://schemas.openxmlformats.org/officeDocument/2006/relationships/ctrlProp" Target="../ctrlProps/ctrlProp74.xml"/><Relationship Id="rId83" Type="http://schemas.openxmlformats.org/officeDocument/2006/relationships/ctrlProp" Target="../ctrlProps/ctrlProp82.xml"/><Relationship Id="rId88" Type="http://schemas.openxmlformats.org/officeDocument/2006/relationships/ctrlProp" Target="../ctrlProps/ctrlProp87.xml"/><Relationship Id="rId91" Type="http://schemas.openxmlformats.org/officeDocument/2006/relationships/ctrlProp" Target="../ctrlProps/ctrlProp90.xml"/><Relationship Id="rId96" Type="http://schemas.openxmlformats.org/officeDocument/2006/relationships/ctrlProp" Target="../ctrlProps/ctrlProp95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57" Type="http://schemas.openxmlformats.org/officeDocument/2006/relationships/ctrlProp" Target="../ctrlProps/ctrlProp56.xml"/><Relationship Id="rId10" Type="http://schemas.openxmlformats.org/officeDocument/2006/relationships/ctrlProp" Target="../ctrlProps/ctrlProp9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52" Type="http://schemas.openxmlformats.org/officeDocument/2006/relationships/ctrlProp" Target="../ctrlProps/ctrlProp51.xml"/><Relationship Id="rId60" Type="http://schemas.openxmlformats.org/officeDocument/2006/relationships/ctrlProp" Target="../ctrlProps/ctrlProp59.xml"/><Relationship Id="rId65" Type="http://schemas.openxmlformats.org/officeDocument/2006/relationships/ctrlProp" Target="../ctrlProps/ctrlProp64.xml"/><Relationship Id="rId73" Type="http://schemas.openxmlformats.org/officeDocument/2006/relationships/ctrlProp" Target="../ctrlProps/ctrlProp72.xml"/><Relationship Id="rId78" Type="http://schemas.openxmlformats.org/officeDocument/2006/relationships/ctrlProp" Target="../ctrlProps/ctrlProp77.xml"/><Relationship Id="rId81" Type="http://schemas.openxmlformats.org/officeDocument/2006/relationships/ctrlProp" Target="../ctrlProps/ctrlProp80.xml"/><Relationship Id="rId86" Type="http://schemas.openxmlformats.org/officeDocument/2006/relationships/ctrlProp" Target="../ctrlProps/ctrlProp85.xml"/><Relationship Id="rId94" Type="http://schemas.openxmlformats.org/officeDocument/2006/relationships/ctrlProp" Target="../ctrlProps/ctrlProp93.xml"/><Relationship Id="rId99" Type="http://schemas.openxmlformats.org/officeDocument/2006/relationships/ctrlProp" Target="../ctrlProps/ctrlProp98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9" Type="http://schemas.openxmlformats.org/officeDocument/2006/relationships/ctrlProp" Target="../ctrlProps/ctrlProp38.xml"/><Relationship Id="rId34" Type="http://schemas.openxmlformats.org/officeDocument/2006/relationships/ctrlProp" Target="../ctrlProps/ctrlProp33.xml"/><Relationship Id="rId50" Type="http://schemas.openxmlformats.org/officeDocument/2006/relationships/ctrlProp" Target="../ctrlProps/ctrlProp49.xml"/><Relationship Id="rId55" Type="http://schemas.openxmlformats.org/officeDocument/2006/relationships/ctrlProp" Target="../ctrlProps/ctrlProp54.xml"/><Relationship Id="rId76" Type="http://schemas.openxmlformats.org/officeDocument/2006/relationships/ctrlProp" Target="../ctrlProps/ctrlProp75.xml"/><Relationship Id="rId97" Type="http://schemas.openxmlformats.org/officeDocument/2006/relationships/ctrlProp" Target="../ctrlProps/ctrlProp96.xml"/><Relationship Id="rId7" Type="http://schemas.openxmlformats.org/officeDocument/2006/relationships/ctrlProp" Target="../ctrlProps/ctrlProp6.xml"/><Relationship Id="rId71" Type="http://schemas.openxmlformats.org/officeDocument/2006/relationships/ctrlProp" Target="../ctrlProps/ctrlProp70.xml"/><Relationship Id="rId92" Type="http://schemas.openxmlformats.org/officeDocument/2006/relationships/ctrlProp" Target="../ctrlProps/ctrlProp91.xml"/><Relationship Id="rId2" Type="http://schemas.openxmlformats.org/officeDocument/2006/relationships/vmlDrawing" Target="../drawings/vmlDrawing2.vml"/><Relationship Id="rId29" Type="http://schemas.openxmlformats.org/officeDocument/2006/relationships/ctrlProp" Target="../ctrlProps/ctrlProp28.xml"/><Relationship Id="rId24" Type="http://schemas.openxmlformats.org/officeDocument/2006/relationships/ctrlProp" Target="../ctrlProps/ctrlProp23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66" Type="http://schemas.openxmlformats.org/officeDocument/2006/relationships/ctrlProp" Target="../ctrlProps/ctrlProp65.xml"/><Relationship Id="rId87" Type="http://schemas.openxmlformats.org/officeDocument/2006/relationships/ctrlProp" Target="../ctrlProps/ctrlProp86.xml"/><Relationship Id="rId61" Type="http://schemas.openxmlformats.org/officeDocument/2006/relationships/ctrlProp" Target="../ctrlProps/ctrlProp60.xml"/><Relationship Id="rId82" Type="http://schemas.openxmlformats.org/officeDocument/2006/relationships/ctrlProp" Target="../ctrlProps/ctrlProp81.xml"/><Relationship Id="rId19" Type="http://schemas.openxmlformats.org/officeDocument/2006/relationships/ctrlProp" Target="../ctrlProps/ctrlProp18.xml"/><Relationship Id="rId14" Type="http://schemas.openxmlformats.org/officeDocument/2006/relationships/ctrlProp" Target="../ctrlProps/ctrlProp13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56" Type="http://schemas.openxmlformats.org/officeDocument/2006/relationships/ctrlProp" Target="../ctrlProps/ctrlProp55.xml"/><Relationship Id="rId77" Type="http://schemas.openxmlformats.org/officeDocument/2006/relationships/ctrlProp" Target="../ctrlProps/ctrlProp76.xml"/><Relationship Id="rId100" Type="http://schemas.openxmlformats.org/officeDocument/2006/relationships/ctrlProp" Target="../ctrlProps/ctrlProp99.xml"/><Relationship Id="rId8" Type="http://schemas.openxmlformats.org/officeDocument/2006/relationships/ctrlProp" Target="../ctrlProps/ctrlProp7.xml"/><Relationship Id="rId51" Type="http://schemas.openxmlformats.org/officeDocument/2006/relationships/ctrlProp" Target="../ctrlProps/ctrlProp50.xml"/><Relationship Id="rId72" Type="http://schemas.openxmlformats.org/officeDocument/2006/relationships/ctrlProp" Target="../ctrlProps/ctrlProp71.xml"/><Relationship Id="rId93" Type="http://schemas.openxmlformats.org/officeDocument/2006/relationships/ctrlProp" Target="../ctrlProps/ctrlProp92.xml"/><Relationship Id="rId98" Type="http://schemas.openxmlformats.org/officeDocument/2006/relationships/ctrlProp" Target="../ctrlProps/ctrlProp9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A7AAF-31BC-43F8-B4A7-32D52E407D0C}">
  <sheetPr codeName="Blad1"/>
  <dimension ref="A1:I25"/>
  <sheetViews>
    <sheetView workbookViewId="0">
      <pane ySplit="19" topLeftCell="A20" activePane="bottomLeft" state="frozen"/>
      <selection pane="bottomLeft" sqref="A1:I1"/>
    </sheetView>
  </sheetViews>
  <sheetFormatPr defaultRowHeight="14.5" x14ac:dyDescent="0.35"/>
  <cols>
    <col min="1" max="1" width="34" customWidth="1"/>
    <col min="2" max="2" width="36" customWidth="1"/>
    <col min="3" max="3" width="18" customWidth="1"/>
    <col min="4" max="4" width="20" customWidth="1"/>
    <col min="5" max="5" width="16" customWidth="1"/>
    <col min="6" max="7" width="12" customWidth="1"/>
    <col min="8" max="8" width="15" customWidth="1"/>
    <col min="9" max="9" width="12" customWidth="1"/>
    <col min="10" max="16" width="15" customWidth="1"/>
  </cols>
  <sheetData>
    <row r="1" spans="1:9" ht="23.5" customHeight="1" x14ac:dyDescent="0.35">
      <c r="A1" s="9" t="s">
        <v>326</v>
      </c>
      <c r="B1" s="10"/>
      <c r="C1" s="10"/>
      <c r="D1" s="10"/>
      <c r="E1" s="10"/>
      <c r="F1" s="10"/>
      <c r="G1" s="10"/>
      <c r="H1" s="10"/>
      <c r="I1" s="10"/>
    </row>
    <row r="2" spans="1:9" x14ac:dyDescent="0.35">
      <c r="A2" s="11" t="s">
        <v>327</v>
      </c>
      <c r="B2" s="10"/>
      <c r="C2" s="10"/>
      <c r="D2" s="10"/>
      <c r="E2" s="10"/>
      <c r="F2" s="10"/>
      <c r="G2" s="10"/>
      <c r="H2" s="10"/>
      <c r="I2" s="10"/>
    </row>
    <row r="4" spans="1:9" x14ac:dyDescent="0.35">
      <c r="A4" s="1" t="s">
        <v>0</v>
      </c>
      <c r="B4" s="1">
        <v>98</v>
      </c>
      <c r="D4" s="1" t="s">
        <v>3</v>
      </c>
      <c r="E4" s="1" t="s">
        <v>4</v>
      </c>
    </row>
    <row r="5" spans="1:9" x14ac:dyDescent="0.35">
      <c r="A5" s="1" t="s">
        <v>1</v>
      </c>
      <c r="B5" s="1">
        <v>96</v>
      </c>
      <c r="D5" s="1" t="s">
        <v>5</v>
      </c>
      <c r="E5" s="1">
        <v>96</v>
      </c>
    </row>
    <row r="6" spans="1:9" x14ac:dyDescent="0.35">
      <c r="A6" s="1" t="s">
        <v>328</v>
      </c>
      <c r="B6" s="1">
        <v>2</v>
      </c>
      <c r="D6" s="1" t="s">
        <v>6</v>
      </c>
      <c r="E6" s="1">
        <v>2</v>
      </c>
    </row>
    <row r="7" spans="1:9" x14ac:dyDescent="0.35">
      <c r="A7" s="1" t="s">
        <v>2</v>
      </c>
      <c r="B7" s="1">
        <v>0</v>
      </c>
      <c r="D7" s="1" t="s">
        <v>7</v>
      </c>
      <c r="E7" s="1">
        <v>0</v>
      </c>
    </row>
    <row r="9" spans="1:9" ht="28" customHeight="1" x14ac:dyDescent="0.35">
      <c r="A9" s="12" t="s">
        <v>329</v>
      </c>
      <c r="B9" s="12"/>
      <c r="D9" s="12" t="s">
        <v>330</v>
      </c>
      <c r="E9" s="12"/>
    </row>
    <row r="10" spans="1:9" x14ac:dyDescent="0.35">
      <c r="A10" s="10"/>
      <c r="B10" s="10"/>
      <c r="D10" s="10"/>
      <c r="E10" s="10"/>
    </row>
    <row r="11" spans="1:9" ht="18" customHeight="1" x14ac:dyDescent="0.35">
      <c r="A11" s="1" t="s">
        <v>331</v>
      </c>
      <c r="B11" s="1" t="s">
        <v>332</v>
      </c>
      <c r="D11" s="1" t="s">
        <v>333</v>
      </c>
      <c r="E11" t="s">
        <v>334</v>
      </c>
    </row>
    <row r="12" spans="1:9" x14ac:dyDescent="0.35">
      <c r="A12" s="1" t="s">
        <v>335</v>
      </c>
      <c r="B12" t="s">
        <v>336</v>
      </c>
    </row>
    <row r="13" spans="1:9" x14ac:dyDescent="0.35">
      <c r="A13" s="1" t="s">
        <v>337</v>
      </c>
      <c r="B13" t="s">
        <v>338</v>
      </c>
    </row>
    <row r="14" spans="1:9" x14ac:dyDescent="0.35">
      <c r="A14" s="1" t="s">
        <v>339</v>
      </c>
      <c r="B14">
        <v>5</v>
      </c>
    </row>
    <row r="15" spans="1:9" x14ac:dyDescent="0.35">
      <c r="A15" s="1" t="s">
        <v>340</v>
      </c>
      <c r="B15">
        <f>B4</f>
        <v>98</v>
      </c>
    </row>
    <row r="16" spans="1:9" x14ac:dyDescent="0.35">
      <c r="A16" s="1" t="s">
        <v>341</v>
      </c>
      <c r="B16">
        <v>0</v>
      </c>
    </row>
    <row r="20" spans="1:9" x14ac:dyDescent="0.35">
      <c r="A20" s="4" t="s">
        <v>45</v>
      </c>
      <c r="B20" s="4" t="s">
        <v>342</v>
      </c>
      <c r="C20" s="4" t="s">
        <v>343</v>
      </c>
      <c r="D20" s="4" t="s">
        <v>344</v>
      </c>
      <c r="E20" s="4" t="s">
        <v>345</v>
      </c>
      <c r="F20" s="4" t="s">
        <v>19</v>
      </c>
      <c r="G20" s="4" t="s">
        <v>1</v>
      </c>
      <c r="H20" s="4" t="s">
        <v>328</v>
      </c>
      <c r="I20" s="4" t="s">
        <v>2</v>
      </c>
    </row>
    <row r="21" spans="1:9" ht="32" customHeight="1" x14ac:dyDescent="0.35">
      <c r="A21" t="s">
        <v>54</v>
      </c>
      <c r="B21" t="s">
        <v>346</v>
      </c>
      <c r="C21" t="s">
        <v>347</v>
      </c>
      <c r="D21">
        <v>121</v>
      </c>
      <c r="E21">
        <f>COUNTIF(Tests!$Z$5:$Z$102,A21)</f>
        <v>19</v>
      </c>
      <c r="F21">
        <f>G21+H21</f>
        <v>19</v>
      </c>
      <c r="G21">
        <f>COUNTIFS(Tests!$Z$5:$Z$102,A21,Tests!$S$5:$S$102,"PASS")</f>
        <v>19</v>
      </c>
      <c r="H21">
        <f>COUNTIFS(Tests!$Z$5:$Z$102,A21,Tests!$S$5:$S$102,"&lt;&gt;PASS",Tests!$S$5:$S$102,"&lt;&gt;NOT RUN",Tests!$S$5:$S$102,"&lt;&gt;")</f>
        <v>0</v>
      </c>
      <c r="I21">
        <f>COUNTIFS(Tests!$Z$5:$Z$102,A21,Tests!$S$5:$S$102,"NOT RUN")</f>
        <v>0</v>
      </c>
    </row>
    <row r="22" spans="1:9" ht="32" customHeight="1" x14ac:dyDescent="0.35">
      <c r="A22" t="s">
        <v>108</v>
      </c>
      <c r="B22" t="s">
        <v>348</v>
      </c>
      <c r="C22" t="s">
        <v>347</v>
      </c>
      <c r="D22">
        <v>8</v>
      </c>
      <c r="E22">
        <f>COUNTIF(Tests!$Z$5:$Z$102,A22)</f>
        <v>8</v>
      </c>
      <c r="F22">
        <f>G22+H22</f>
        <v>8</v>
      </c>
      <c r="G22">
        <f>COUNTIFS(Tests!$Z$5:$Z$102,A22,Tests!$S$5:$S$102,"PASS")</f>
        <v>8</v>
      </c>
      <c r="H22">
        <f>COUNTIFS(Tests!$Z$5:$Z$102,A22,Tests!$S$5:$S$102,"&lt;&gt;PASS",Tests!$S$5:$S$102,"&lt;&gt;NOT RUN",Tests!$S$5:$S$102,"&lt;&gt;")</f>
        <v>0</v>
      </c>
      <c r="I22">
        <f>COUNTIFS(Tests!$Z$5:$Z$102,A22,Tests!$S$5:$S$102,"NOT RUN")</f>
        <v>0</v>
      </c>
    </row>
    <row r="23" spans="1:9" ht="32" customHeight="1" x14ac:dyDescent="0.35">
      <c r="A23" t="s">
        <v>133</v>
      </c>
      <c r="B23" t="s">
        <v>349</v>
      </c>
      <c r="C23" t="s">
        <v>350</v>
      </c>
      <c r="D23">
        <v>65340</v>
      </c>
      <c r="E23">
        <f>COUNTIF(Tests!$Z$5:$Z$102,A23)</f>
        <v>64</v>
      </c>
      <c r="F23">
        <f>G23+H23</f>
        <v>64</v>
      </c>
      <c r="G23">
        <f>COUNTIFS(Tests!$Z$5:$Z$102,A23,Tests!$S$5:$S$102,"PASS")</f>
        <v>64</v>
      </c>
      <c r="H23">
        <f>COUNTIFS(Tests!$Z$5:$Z$102,A23,Tests!$S$5:$S$102,"&lt;&gt;PASS",Tests!$S$5:$S$102,"&lt;&gt;NOT RUN",Tests!$S$5:$S$102,"&lt;&gt;")</f>
        <v>0</v>
      </c>
      <c r="I23">
        <f>COUNTIFS(Tests!$Z$5:$Z$102,A23,Tests!$S$5:$S$102,"NOT RUN")</f>
        <v>0</v>
      </c>
    </row>
    <row r="24" spans="1:9" ht="32" customHeight="1" x14ac:dyDescent="0.35">
      <c r="A24" t="s">
        <v>308</v>
      </c>
      <c r="B24" t="s">
        <v>351</v>
      </c>
      <c r="C24" t="s">
        <v>347</v>
      </c>
      <c r="D24">
        <v>1</v>
      </c>
      <c r="E24">
        <f>COUNTIF(Tests!$Z$5:$Z$102,A24)</f>
        <v>1</v>
      </c>
      <c r="F24">
        <f>G24+H24</f>
        <v>1</v>
      </c>
      <c r="G24">
        <f>COUNTIFS(Tests!$Z$5:$Z$102,A24,Tests!$S$5:$S$102,"PASS")</f>
        <v>1</v>
      </c>
      <c r="H24">
        <f>COUNTIFS(Tests!$Z$5:$Z$102,A24,Tests!$S$5:$S$102,"&lt;&gt;PASS",Tests!$S$5:$S$102,"&lt;&gt;NOT RUN",Tests!$S$5:$S$102,"&lt;&gt;")</f>
        <v>0</v>
      </c>
      <c r="I24">
        <f>COUNTIFS(Tests!$Z$5:$Z$102,A24,Tests!$S$5:$S$102,"NOT RUN")</f>
        <v>0</v>
      </c>
    </row>
    <row r="25" spans="1:9" ht="32" customHeight="1" x14ac:dyDescent="0.35">
      <c r="A25" t="s">
        <v>313</v>
      </c>
      <c r="B25" t="s">
        <v>352</v>
      </c>
      <c r="C25" t="s">
        <v>347</v>
      </c>
      <c r="D25">
        <v>6</v>
      </c>
      <c r="E25">
        <f>COUNTIF(Tests!$Z$5:$Z$102,A25)</f>
        <v>6</v>
      </c>
      <c r="F25">
        <f>G25+H25</f>
        <v>6</v>
      </c>
      <c r="G25">
        <f>COUNTIFS(Tests!$Z$5:$Z$102,A25,Tests!$S$5:$S$102,"PASS")</f>
        <v>4</v>
      </c>
      <c r="H25">
        <f>COUNTIFS(Tests!$Z$5:$Z$102,A25,Tests!$S$5:$S$102,"&lt;&gt;PASS",Tests!$S$5:$S$102,"&lt;&gt;NOT RUN",Tests!$S$5:$S$102,"&lt;&gt;")</f>
        <v>2</v>
      </c>
      <c r="I25">
        <f>COUNTIFS(Tests!$Z$5:$Z$102,A25,Tests!$S$5:$S$102,"NOT RUN")</f>
        <v>0</v>
      </c>
    </row>
  </sheetData>
  <autoFilter ref="A20:I25" xr:uid="{00000000-0009-0000-0000-000000000000}"/>
  <mergeCells count="4">
    <mergeCell ref="A1:I1"/>
    <mergeCell ref="A2:I2"/>
    <mergeCell ref="A9:B10"/>
    <mergeCell ref="D9:E10"/>
  </mergeCell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PostmanTestRunner.RunAllTests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476250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34567-89AB-CDEF-0123-456789ABCDEF}">
  <sheetPr codeName="Blad2"/>
  <dimension ref="A1:AC102"/>
  <sheetViews>
    <sheetView tabSelected="1" topLeftCell="P1" workbookViewId="0">
      <pane ySplit="4" topLeftCell="A96" activePane="bottomLeft" state="frozen"/>
      <selection pane="bottomLeft" activeCell="U1" sqref="U1:U1048576"/>
    </sheetView>
  </sheetViews>
  <sheetFormatPr defaultRowHeight="14.5" x14ac:dyDescent="0.35"/>
  <cols>
    <col min="1" max="1" width="52" customWidth="1"/>
    <col min="2" max="2" width="10" customWidth="1"/>
    <col min="3" max="3" width="80" customWidth="1"/>
    <col min="4" max="16" width="18" customWidth="1"/>
    <col min="17" max="18" width="32" customWidth="1"/>
    <col min="19" max="20" width="12" customWidth="1"/>
    <col min="21" max="21" width="12" hidden="1" customWidth="1"/>
    <col min="22" max="22" width="22" hidden="1" customWidth="1"/>
    <col min="23" max="23" width="28" customWidth="1"/>
    <col min="24" max="24" width="44" customWidth="1"/>
    <col min="25" max="25" width="70" customWidth="1"/>
    <col min="26" max="28" width="28" customWidth="1"/>
    <col min="29" max="29" width="60" customWidth="1"/>
  </cols>
  <sheetData>
    <row r="1" spans="1:29" ht="21" customHeight="1" x14ac:dyDescent="0.35">
      <c r="A1" s="3" t="s">
        <v>8</v>
      </c>
    </row>
    <row r="2" spans="1:29" x14ac:dyDescent="0.35">
      <c r="A2" s="2" t="s">
        <v>36</v>
      </c>
    </row>
    <row r="4" spans="1:29" x14ac:dyDescent="0.35">
      <c r="A4" s="4" t="s">
        <v>9</v>
      </c>
      <c r="B4" s="4" t="s">
        <v>10</v>
      </c>
      <c r="C4" s="4" t="s">
        <v>11</v>
      </c>
      <c r="D4" s="4" t="s">
        <v>12</v>
      </c>
      <c r="E4" s="4" t="s">
        <v>13</v>
      </c>
      <c r="F4" s="4" t="s">
        <v>37</v>
      </c>
      <c r="G4" s="4" t="s">
        <v>30</v>
      </c>
      <c r="H4" s="4" t="s">
        <v>38</v>
      </c>
      <c r="I4" s="4" t="s">
        <v>39</v>
      </c>
      <c r="J4" s="4" t="s">
        <v>40</v>
      </c>
      <c r="K4" s="4" t="s">
        <v>41</v>
      </c>
      <c r="L4" s="4" t="s">
        <v>14</v>
      </c>
      <c r="M4" s="4" t="s">
        <v>15</v>
      </c>
      <c r="N4" s="4" t="s">
        <v>42</v>
      </c>
      <c r="O4" s="4" t="s">
        <v>43</v>
      </c>
      <c r="P4" s="4" t="s">
        <v>44</v>
      </c>
      <c r="Q4" s="4" t="s">
        <v>16</v>
      </c>
      <c r="R4" s="4" t="s">
        <v>17</v>
      </c>
      <c r="S4" s="4" t="s">
        <v>18</v>
      </c>
      <c r="T4" s="4" t="s">
        <v>19</v>
      </c>
      <c r="U4" s="4" t="s">
        <v>20</v>
      </c>
      <c r="V4" s="4" t="s">
        <v>21</v>
      </c>
      <c r="W4" s="4" t="s">
        <v>22</v>
      </c>
      <c r="X4" s="4" t="s">
        <v>23</v>
      </c>
      <c r="Y4" s="4" t="s">
        <v>24</v>
      </c>
      <c r="Z4" s="4" t="s">
        <v>45</v>
      </c>
      <c r="AA4" s="4" t="s">
        <v>46</v>
      </c>
      <c r="AB4" s="4" t="s">
        <v>47</v>
      </c>
      <c r="AC4" s="4" t="s">
        <v>48</v>
      </c>
    </row>
    <row r="5" spans="1:29" ht="70" customHeight="1" x14ac:dyDescent="0.35">
      <c r="A5" t="s">
        <v>49</v>
      </c>
      <c r="B5" t="s">
        <v>25</v>
      </c>
      <c r="C5" s="6" t="s">
        <v>50</v>
      </c>
      <c r="D5" s="5"/>
      <c r="E5" s="5"/>
      <c r="F5" s="5">
        <v>0</v>
      </c>
      <c r="G5" s="5">
        <v>0</v>
      </c>
      <c r="H5" s="5"/>
      <c r="I5" s="5"/>
      <c r="J5" s="5"/>
      <c r="K5" s="5"/>
      <c r="L5" s="5"/>
      <c r="M5" s="5"/>
      <c r="N5" s="5"/>
      <c r="O5" s="5"/>
      <c r="P5" s="5"/>
      <c r="Q5" s="6" t="s">
        <v>51</v>
      </c>
      <c r="R5" s="6" t="s">
        <v>51</v>
      </c>
      <c r="S5" s="7" t="s">
        <v>5</v>
      </c>
      <c r="T5" t="s">
        <v>19</v>
      </c>
      <c r="U5" t="s">
        <v>28</v>
      </c>
      <c r="V5" t="s">
        <v>29</v>
      </c>
      <c r="W5" t="s">
        <v>52</v>
      </c>
      <c r="X5" t="s">
        <v>53</v>
      </c>
      <c r="Y5" s="6" t="s">
        <v>353</v>
      </c>
      <c r="Z5" t="s">
        <v>54</v>
      </c>
      <c r="AA5" t="s">
        <v>55</v>
      </c>
      <c r="AB5">
        <v>1</v>
      </c>
      <c r="AC5" s="6" t="s">
        <v>56</v>
      </c>
    </row>
    <row r="6" spans="1:29" ht="70" customHeight="1" x14ac:dyDescent="0.35">
      <c r="A6" t="s">
        <v>57</v>
      </c>
      <c r="B6" t="s">
        <v>25</v>
      </c>
      <c r="C6" s="6" t="s">
        <v>50</v>
      </c>
      <c r="D6" s="5"/>
      <c r="E6" s="5"/>
      <c r="F6" s="5">
        <v>0</v>
      </c>
      <c r="G6" s="5">
        <v>1</v>
      </c>
      <c r="H6" s="5"/>
      <c r="I6" s="5"/>
      <c r="J6" s="5"/>
      <c r="K6" s="5"/>
      <c r="L6" s="5"/>
      <c r="M6" s="5"/>
      <c r="N6" s="5"/>
      <c r="O6" s="5"/>
      <c r="P6" s="5"/>
      <c r="Q6" s="6" t="s">
        <v>51</v>
      </c>
      <c r="R6" s="6" t="s">
        <v>51</v>
      </c>
      <c r="S6" s="7" t="s">
        <v>5</v>
      </c>
      <c r="T6" t="s">
        <v>19</v>
      </c>
      <c r="U6" t="s">
        <v>28</v>
      </c>
      <c r="V6" t="s">
        <v>29</v>
      </c>
      <c r="W6" t="s">
        <v>52</v>
      </c>
      <c r="X6" t="s">
        <v>53</v>
      </c>
      <c r="Y6" s="6" t="s">
        <v>354</v>
      </c>
      <c r="Z6" t="s">
        <v>54</v>
      </c>
      <c r="AA6" t="s">
        <v>55</v>
      </c>
      <c r="AB6">
        <v>1</v>
      </c>
      <c r="AC6" s="6" t="s">
        <v>58</v>
      </c>
    </row>
    <row r="7" spans="1:29" ht="70" customHeight="1" x14ac:dyDescent="0.35">
      <c r="A7" t="s">
        <v>59</v>
      </c>
      <c r="B7" t="s">
        <v>25</v>
      </c>
      <c r="C7" s="6" t="s">
        <v>50</v>
      </c>
      <c r="D7" s="5"/>
      <c r="E7" s="5"/>
      <c r="F7" s="5">
        <v>1</v>
      </c>
      <c r="G7" s="5">
        <v>0</v>
      </c>
      <c r="H7" s="5"/>
      <c r="I7" s="5"/>
      <c r="J7" s="5"/>
      <c r="K7" s="5"/>
      <c r="L7" s="5"/>
      <c r="M7" s="5"/>
      <c r="N7" s="5"/>
      <c r="O7" s="5"/>
      <c r="P7" s="5"/>
      <c r="Q7" s="6" t="s">
        <v>51</v>
      </c>
      <c r="R7" s="6" t="s">
        <v>51</v>
      </c>
      <c r="S7" s="7" t="s">
        <v>5</v>
      </c>
      <c r="T7" t="s">
        <v>19</v>
      </c>
      <c r="U7" t="s">
        <v>28</v>
      </c>
      <c r="V7" t="s">
        <v>29</v>
      </c>
      <c r="W7" t="s">
        <v>52</v>
      </c>
      <c r="X7" t="s">
        <v>53</v>
      </c>
      <c r="Y7" s="6" t="s">
        <v>355</v>
      </c>
      <c r="Z7" t="s">
        <v>54</v>
      </c>
      <c r="AA7" t="s">
        <v>60</v>
      </c>
      <c r="AB7">
        <v>2</v>
      </c>
      <c r="AC7" s="6" t="s">
        <v>61</v>
      </c>
    </row>
    <row r="8" spans="1:29" ht="70" customHeight="1" x14ac:dyDescent="0.35">
      <c r="A8" t="s">
        <v>62</v>
      </c>
      <c r="B8" t="s">
        <v>25</v>
      </c>
      <c r="C8" s="6" t="s">
        <v>50</v>
      </c>
      <c r="D8" s="5"/>
      <c r="E8" s="5"/>
      <c r="F8" s="5">
        <v>1</v>
      </c>
      <c r="G8" s="5">
        <v>1249</v>
      </c>
      <c r="H8" s="5"/>
      <c r="I8" s="5"/>
      <c r="J8" s="5"/>
      <c r="K8" s="5"/>
      <c r="L8" s="5"/>
      <c r="M8" s="5"/>
      <c r="N8" s="5"/>
      <c r="O8" s="5"/>
      <c r="P8" s="5"/>
      <c r="Q8" s="6" t="s">
        <v>63</v>
      </c>
      <c r="R8" s="6" t="s">
        <v>63</v>
      </c>
      <c r="S8" s="7" t="s">
        <v>5</v>
      </c>
      <c r="T8" t="s">
        <v>19</v>
      </c>
      <c r="U8" t="s">
        <v>28</v>
      </c>
      <c r="V8" t="s">
        <v>29</v>
      </c>
      <c r="W8" t="s">
        <v>52</v>
      </c>
      <c r="X8" t="s">
        <v>53</v>
      </c>
      <c r="Y8" s="6" t="s">
        <v>356</v>
      </c>
      <c r="Z8" t="s">
        <v>54</v>
      </c>
      <c r="AA8" t="s">
        <v>55</v>
      </c>
      <c r="AB8">
        <v>1</v>
      </c>
      <c r="AC8" s="6" t="s">
        <v>64</v>
      </c>
    </row>
    <row r="9" spans="1:29" ht="70" customHeight="1" x14ac:dyDescent="0.35">
      <c r="A9" t="s">
        <v>65</v>
      </c>
      <c r="B9" t="s">
        <v>25</v>
      </c>
      <c r="C9" s="6" t="s">
        <v>50</v>
      </c>
      <c r="D9" s="5"/>
      <c r="E9" s="5"/>
      <c r="F9" s="5">
        <v>1</v>
      </c>
      <c r="G9" s="5">
        <v>1</v>
      </c>
      <c r="H9" s="5"/>
      <c r="I9" s="5"/>
      <c r="J9" s="5"/>
      <c r="K9" s="5"/>
      <c r="L9" s="5"/>
      <c r="M9" s="5"/>
      <c r="N9" s="5"/>
      <c r="O9" s="5"/>
      <c r="P9" s="5"/>
      <c r="Q9" s="6" t="s">
        <v>63</v>
      </c>
      <c r="R9" s="6" t="s">
        <v>63</v>
      </c>
      <c r="S9" s="7" t="s">
        <v>5</v>
      </c>
      <c r="T9" t="s">
        <v>19</v>
      </c>
      <c r="U9" t="s">
        <v>28</v>
      </c>
      <c r="V9" t="s">
        <v>29</v>
      </c>
      <c r="W9" t="s">
        <v>52</v>
      </c>
      <c r="X9" t="s">
        <v>53</v>
      </c>
      <c r="Y9" s="6" t="s">
        <v>357</v>
      </c>
      <c r="Z9" t="s">
        <v>54</v>
      </c>
      <c r="AA9" t="s">
        <v>55</v>
      </c>
      <c r="AB9">
        <v>1</v>
      </c>
      <c r="AC9" s="6" t="s">
        <v>66</v>
      </c>
    </row>
    <row r="10" spans="1:29" ht="70" customHeight="1" x14ac:dyDescent="0.35">
      <c r="A10" t="s">
        <v>67</v>
      </c>
      <c r="B10" t="s">
        <v>25</v>
      </c>
      <c r="C10" s="6" t="s">
        <v>50</v>
      </c>
      <c r="D10" s="5"/>
      <c r="E10" s="5"/>
      <c r="F10" s="5">
        <v>1249</v>
      </c>
      <c r="G10" s="5">
        <v>1249</v>
      </c>
      <c r="H10" s="5"/>
      <c r="I10" s="5"/>
      <c r="J10" s="5"/>
      <c r="K10" s="5"/>
      <c r="L10" s="5"/>
      <c r="M10" s="5"/>
      <c r="N10" s="5"/>
      <c r="O10" s="5"/>
      <c r="P10" s="5"/>
      <c r="Q10" s="6" t="s">
        <v>68</v>
      </c>
      <c r="R10" s="6" t="s">
        <v>68</v>
      </c>
      <c r="S10" s="7" t="s">
        <v>5</v>
      </c>
      <c r="T10" t="s">
        <v>19</v>
      </c>
      <c r="U10" t="s">
        <v>28</v>
      </c>
      <c r="V10" t="s">
        <v>29</v>
      </c>
      <c r="W10" t="s">
        <v>52</v>
      </c>
      <c r="X10" t="s">
        <v>53</v>
      </c>
      <c r="Y10" s="6" t="s">
        <v>358</v>
      </c>
      <c r="Z10" t="s">
        <v>54</v>
      </c>
      <c r="AA10" t="s">
        <v>55</v>
      </c>
      <c r="AB10">
        <v>1</v>
      </c>
      <c r="AC10" s="6" t="s">
        <v>69</v>
      </c>
    </row>
    <row r="11" spans="1:29" ht="70" customHeight="1" x14ac:dyDescent="0.35">
      <c r="A11" t="s">
        <v>70</v>
      </c>
      <c r="B11" t="s">
        <v>25</v>
      </c>
      <c r="C11" s="6" t="s">
        <v>50</v>
      </c>
      <c r="D11" s="5"/>
      <c r="E11" s="5"/>
      <c r="F11" s="5">
        <v>1249</v>
      </c>
      <c r="G11" s="5">
        <v>749</v>
      </c>
      <c r="H11" s="5"/>
      <c r="I11" s="5"/>
      <c r="J11" s="5"/>
      <c r="K11" s="5"/>
      <c r="L11" s="5"/>
      <c r="M11" s="5"/>
      <c r="N11" s="5"/>
      <c r="O11" s="5"/>
      <c r="P11" s="5"/>
      <c r="Q11" s="6" t="s">
        <v>71</v>
      </c>
      <c r="R11" s="6" t="s">
        <v>71</v>
      </c>
      <c r="S11" s="7" t="s">
        <v>5</v>
      </c>
      <c r="T11" t="s">
        <v>19</v>
      </c>
      <c r="U11" t="s">
        <v>28</v>
      </c>
      <c r="V11" t="s">
        <v>29</v>
      </c>
      <c r="W11" t="s">
        <v>52</v>
      </c>
      <c r="X11" t="s">
        <v>53</v>
      </c>
      <c r="Y11" s="6" t="s">
        <v>359</v>
      </c>
      <c r="Z11" t="s">
        <v>54</v>
      </c>
      <c r="AA11" t="s">
        <v>60</v>
      </c>
      <c r="AB11">
        <v>2</v>
      </c>
      <c r="AC11" s="6" t="s">
        <v>72</v>
      </c>
    </row>
    <row r="12" spans="1:29" ht="70" customHeight="1" x14ac:dyDescent="0.35">
      <c r="A12" t="s">
        <v>73</v>
      </c>
      <c r="B12" t="s">
        <v>25</v>
      </c>
      <c r="C12" s="6" t="s">
        <v>50</v>
      </c>
      <c r="D12" s="5"/>
      <c r="E12" s="5"/>
      <c r="F12" s="5">
        <v>1249</v>
      </c>
      <c r="G12" s="5">
        <v>750</v>
      </c>
      <c r="H12" s="5"/>
      <c r="I12" s="5"/>
      <c r="J12" s="5"/>
      <c r="K12" s="5"/>
      <c r="L12" s="5"/>
      <c r="M12" s="5"/>
      <c r="N12" s="5"/>
      <c r="O12" s="5"/>
      <c r="P12" s="5"/>
      <c r="Q12" s="6" t="s">
        <v>74</v>
      </c>
      <c r="R12" s="6" t="s">
        <v>74</v>
      </c>
      <c r="S12" s="7" t="s">
        <v>5</v>
      </c>
      <c r="T12" t="s">
        <v>19</v>
      </c>
      <c r="U12" t="s">
        <v>28</v>
      </c>
      <c r="V12" t="s">
        <v>29</v>
      </c>
      <c r="W12" t="s">
        <v>52</v>
      </c>
      <c r="X12" t="s">
        <v>53</v>
      </c>
      <c r="Y12" s="6" t="s">
        <v>360</v>
      </c>
      <c r="Z12" t="s">
        <v>54</v>
      </c>
      <c r="AA12" t="s">
        <v>60</v>
      </c>
      <c r="AB12">
        <v>2</v>
      </c>
      <c r="AC12" s="6" t="s">
        <v>75</v>
      </c>
    </row>
    <row r="13" spans="1:29" ht="70" customHeight="1" x14ac:dyDescent="0.35">
      <c r="A13" t="s">
        <v>76</v>
      </c>
      <c r="B13" t="s">
        <v>25</v>
      </c>
      <c r="C13" s="6" t="s">
        <v>50</v>
      </c>
      <c r="D13" s="5"/>
      <c r="E13" s="5"/>
      <c r="F13" s="5">
        <v>1249</v>
      </c>
      <c r="G13" s="5">
        <v>751</v>
      </c>
      <c r="H13" s="5"/>
      <c r="I13" s="5"/>
      <c r="J13" s="5"/>
      <c r="K13" s="5"/>
      <c r="L13" s="5"/>
      <c r="M13" s="5"/>
      <c r="N13" s="5"/>
      <c r="O13" s="5"/>
      <c r="P13" s="5"/>
      <c r="Q13" s="6" t="s">
        <v>77</v>
      </c>
      <c r="R13" s="6" t="s">
        <v>77</v>
      </c>
      <c r="S13" s="7" t="s">
        <v>5</v>
      </c>
      <c r="T13" t="s">
        <v>19</v>
      </c>
      <c r="U13" t="s">
        <v>28</v>
      </c>
      <c r="V13" t="s">
        <v>29</v>
      </c>
      <c r="W13" t="s">
        <v>52</v>
      </c>
      <c r="X13" t="s">
        <v>53</v>
      </c>
      <c r="Y13" s="6" t="s">
        <v>361</v>
      </c>
      <c r="Z13" t="s">
        <v>54</v>
      </c>
      <c r="AA13" t="s">
        <v>60</v>
      </c>
      <c r="AB13">
        <v>2</v>
      </c>
      <c r="AC13" s="6" t="s">
        <v>78</v>
      </c>
    </row>
    <row r="14" spans="1:29" ht="70" customHeight="1" x14ac:dyDescent="0.35">
      <c r="A14" t="s">
        <v>79</v>
      </c>
      <c r="B14" t="s">
        <v>25</v>
      </c>
      <c r="C14" s="6" t="s">
        <v>50</v>
      </c>
      <c r="D14" s="5"/>
      <c r="E14" s="5"/>
      <c r="F14" s="5">
        <v>1250</v>
      </c>
      <c r="G14" s="5">
        <v>1250</v>
      </c>
      <c r="H14" s="5"/>
      <c r="I14" s="5"/>
      <c r="J14" s="5"/>
      <c r="K14" s="5"/>
      <c r="L14" s="5"/>
      <c r="M14" s="5"/>
      <c r="N14" s="5"/>
      <c r="O14" s="5"/>
      <c r="P14" s="5"/>
      <c r="Q14" s="6" t="s">
        <v>80</v>
      </c>
      <c r="R14" s="6" t="s">
        <v>80</v>
      </c>
      <c r="S14" s="7" t="s">
        <v>5</v>
      </c>
      <c r="T14" t="s">
        <v>19</v>
      </c>
      <c r="U14" t="s">
        <v>28</v>
      </c>
      <c r="V14" t="s">
        <v>29</v>
      </c>
      <c r="W14" t="s">
        <v>52</v>
      </c>
      <c r="X14" t="s">
        <v>53</v>
      </c>
      <c r="Y14" s="6" t="s">
        <v>362</v>
      </c>
      <c r="Z14" t="s">
        <v>54</v>
      </c>
      <c r="AA14" t="s">
        <v>55</v>
      </c>
      <c r="AB14">
        <v>1</v>
      </c>
      <c r="AC14" s="6" t="s">
        <v>81</v>
      </c>
    </row>
    <row r="15" spans="1:29" ht="70" customHeight="1" x14ac:dyDescent="0.35">
      <c r="A15" t="s">
        <v>82</v>
      </c>
      <c r="B15" t="s">
        <v>25</v>
      </c>
      <c r="C15" s="6" t="s">
        <v>50</v>
      </c>
      <c r="D15" s="5"/>
      <c r="E15" s="5"/>
      <c r="F15" s="5">
        <v>1251</v>
      </c>
      <c r="G15" s="5">
        <v>1251</v>
      </c>
      <c r="H15" s="5"/>
      <c r="I15" s="5"/>
      <c r="J15" s="5"/>
      <c r="K15" s="5"/>
      <c r="L15" s="5"/>
      <c r="M15" s="5"/>
      <c r="N15" s="5"/>
      <c r="O15" s="5"/>
      <c r="P15" s="5"/>
      <c r="Q15" s="6" t="s">
        <v>83</v>
      </c>
      <c r="R15" s="6" t="s">
        <v>83</v>
      </c>
      <c r="S15" s="7" t="s">
        <v>5</v>
      </c>
      <c r="T15" t="s">
        <v>19</v>
      </c>
      <c r="U15" t="s">
        <v>28</v>
      </c>
      <c r="V15" t="s">
        <v>29</v>
      </c>
      <c r="W15" t="s">
        <v>52</v>
      </c>
      <c r="X15" t="s">
        <v>53</v>
      </c>
      <c r="Y15" s="6" t="s">
        <v>363</v>
      </c>
      <c r="Z15" t="s">
        <v>54</v>
      </c>
      <c r="AA15" t="s">
        <v>55</v>
      </c>
      <c r="AB15">
        <v>1</v>
      </c>
      <c r="AC15" s="6" t="s">
        <v>84</v>
      </c>
    </row>
    <row r="16" spans="1:29" ht="70" customHeight="1" x14ac:dyDescent="0.35">
      <c r="A16" t="s">
        <v>85</v>
      </c>
      <c r="B16" t="s">
        <v>25</v>
      </c>
      <c r="C16" s="6" t="s">
        <v>50</v>
      </c>
      <c r="D16" s="5"/>
      <c r="E16" s="5"/>
      <c r="F16" s="5">
        <v>437499</v>
      </c>
      <c r="G16" s="5">
        <v>437499</v>
      </c>
      <c r="H16" s="5"/>
      <c r="I16" s="5"/>
      <c r="J16" s="5"/>
      <c r="K16" s="5"/>
      <c r="L16" s="5"/>
      <c r="M16" s="5"/>
      <c r="N16" s="5"/>
      <c r="O16" s="5"/>
      <c r="P16" s="5"/>
      <c r="Q16" s="6" t="s">
        <v>86</v>
      </c>
      <c r="R16" s="6" t="s">
        <v>86</v>
      </c>
      <c r="S16" s="7" t="s">
        <v>5</v>
      </c>
      <c r="T16" t="s">
        <v>19</v>
      </c>
      <c r="U16" t="s">
        <v>28</v>
      </c>
      <c r="V16" t="s">
        <v>29</v>
      </c>
      <c r="W16" t="s">
        <v>52</v>
      </c>
      <c r="X16" t="s">
        <v>53</v>
      </c>
      <c r="Y16" s="6" t="s">
        <v>364</v>
      </c>
      <c r="Z16" t="s">
        <v>54</v>
      </c>
      <c r="AA16" t="s">
        <v>55</v>
      </c>
      <c r="AB16">
        <v>1</v>
      </c>
      <c r="AC16" s="6" t="s">
        <v>87</v>
      </c>
    </row>
    <row r="17" spans="1:29" ht="70" customHeight="1" x14ac:dyDescent="0.35">
      <c r="A17" t="s">
        <v>88</v>
      </c>
      <c r="B17" t="s">
        <v>25</v>
      </c>
      <c r="C17" s="6" t="s">
        <v>50</v>
      </c>
      <c r="D17" s="5"/>
      <c r="E17" s="5"/>
      <c r="F17" s="5">
        <v>437500</v>
      </c>
      <c r="G17" s="5">
        <v>437500</v>
      </c>
      <c r="H17" s="5"/>
      <c r="I17" s="5"/>
      <c r="J17" s="5"/>
      <c r="K17" s="5"/>
      <c r="L17" s="5"/>
      <c r="M17" s="5"/>
      <c r="N17" s="5"/>
      <c r="O17" s="5"/>
      <c r="P17" s="5"/>
      <c r="Q17" s="6" t="s">
        <v>89</v>
      </c>
      <c r="R17" s="6" t="s">
        <v>89</v>
      </c>
      <c r="S17" s="7" t="s">
        <v>5</v>
      </c>
      <c r="T17" t="s">
        <v>19</v>
      </c>
      <c r="U17" t="s">
        <v>28</v>
      </c>
      <c r="V17" t="s">
        <v>29</v>
      </c>
      <c r="W17" t="s">
        <v>52</v>
      </c>
      <c r="X17" t="s">
        <v>53</v>
      </c>
      <c r="Y17" s="6" t="s">
        <v>365</v>
      </c>
      <c r="Z17" t="s">
        <v>54</v>
      </c>
      <c r="AA17" t="s">
        <v>55</v>
      </c>
      <c r="AB17">
        <v>1</v>
      </c>
      <c r="AC17" s="6" t="s">
        <v>90</v>
      </c>
    </row>
    <row r="18" spans="1:29" ht="70" customHeight="1" x14ac:dyDescent="0.35">
      <c r="A18" t="s">
        <v>91</v>
      </c>
      <c r="B18" t="s">
        <v>25</v>
      </c>
      <c r="C18" s="6" t="s">
        <v>50</v>
      </c>
      <c r="D18" s="5"/>
      <c r="E18" s="5"/>
      <c r="F18" s="5">
        <v>437501</v>
      </c>
      <c r="G18" s="5">
        <v>437500</v>
      </c>
      <c r="H18" s="5"/>
      <c r="I18" s="5"/>
      <c r="J18" s="5"/>
      <c r="K18" s="5"/>
      <c r="L18" s="5"/>
      <c r="M18" s="5"/>
      <c r="N18" s="5"/>
      <c r="O18" s="5"/>
      <c r="P18" s="5"/>
      <c r="Q18" s="6" t="s">
        <v>89</v>
      </c>
      <c r="R18" s="6" t="s">
        <v>89</v>
      </c>
      <c r="S18" s="7" t="s">
        <v>5</v>
      </c>
      <c r="T18" t="s">
        <v>19</v>
      </c>
      <c r="U18" t="s">
        <v>28</v>
      </c>
      <c r="V18" t="s">
        <v>29</v>
      </c>
      <c r="W18" t="s">
        <v>52</v>
      </c>
      <c r="X18" t="s">
        <v>53</v>
      </c>
      <c r="Y18" s="6" t="s">
        <v>366</v>
      </c>
      <c r="Z18" t="s">
        <v>54</v>
      </c>
      <c r="AA18" t="s">
        <v>60</v>
      </c>
      <c r="AB18">
        <v>2</v>
      </c>
      <c r="AC18" s="6" t="s">
        <v>92</v>
      </c>
    </row>
    <row r="19" spans="1:29" ht="70" customHeight="1" x14ac:dyDescent="0.35">
      <c r="A19" t="s">
        <v>93</v>
      </c>
      <c r="B19" t="s">
        <v>25</v>
      </c>
      <c r="C19" s="6" t="s">
        <v>50</v>
      </c>
      <c r="D19" s="5"/>
      <c r="E19" s="5"/>
      <c r="F19" s="5">
        <v>437501</v>
      </c>
      <c r="G19" s="5">
        <v>437501</v>
      </c>
      <c r="H19" s="5"/>
      <c r="I19" s="5"/>
      <c r="J19" s="5"/>
      <c r="K19" s="5"/>
      <c r="L19" s="5"/>
      <c r="M19" s="5"/>
      <c r="N19" s="5"/>
      <c r="O19" s="5"/>
      <c r="P19" s="5"/>
      <c r="Q19" s="6" t="s">
        <v>94</v>
      </c>
      <c r="R19" s="6" t="s">
        <v>94</v>
      </c>
      <c r="S19" s="7" t="s">
        <v>5</v>
      </c>
      <c r="T19" t="s">
        <v>19</v>
      </c>
      <c r="U19" t="s">
        <v>28</v>
      </c>
      <c r="V19" t="s">
        <v>29</v>
      </c>
      <c r="W19" t="s">
        <v>52</v>
      </c>
      <c r="X19" t="s">
        <v>53</v>
      </c>
      <c r="Y19" s="6" t="s">
        <v>367</v>
      </c>
      <c r="Z19" t="s">
        <v>54</v>
      </c>
      <c r="AA19" t="s">
        <v>55</v>
      </c>
      <c r="AB19">
        <v>1</v>
      </c>
      <c r="AC19" s="6" t="s">
        <v>95</v>
      </c>
    </row>
    <row r="20" spans="1:29" ht="70" customHeight="1" x14ac:dyDescent="0.35">
      <c r="A20" t="s">
        <v>96</v>
      </c>
      <c r="B20" t="s">
        <v>25</v>
      </c>
      <c r="C20" s="6" t="s">
        <v>50</v>
      </c>
      <c r="D20" s="5"/>
      <c r="E20" s="5"/>
      <c r="F20" s="5">
        <v>749</v>
      </c>
      <c r="G20" s="5">
        <v>1249</v>
      </c>
      <c r="H20" s="5"/>
      <c r="I20" s="5"/>
      <c r="J20" s="5"/>
      <c r="K20" s="5"/>
      <c r="L20" s="5"/>
      <c r="M20" s="5"/>
      <c r="N20" s="5"/>
      <c r="O20" s="5"/>
      <c r="P20" s="5"/>
      <c r="Q20" s="6" t="s">
        <v>71</v>
      </c>
      <c r="R20" s="6" t="s">
        <v>71</v>
      </c>
      <c r="S20" s="7" t="s">
        <v>5</v>
      </c>
      <c r="T20" t="s">
        <v>19</v>
      </c>
      <c r="U20" t="s">
        <v>28</v>
      </c>
      <c r="V20" t="s">
        <v>29</v>
      </c>
      <c r="W20" t="s">
        <v>52</v>
      </c>
      <c r="X20" t="s">
        <v>53</v>
      </c>
      <c r="Y20" s="6" t="s">
        <v>368</v>
      </c>
      <c r="Z20" t="s">
        <v>54</v>
      </c>
      <c r="AA20" t="s">
        <v>55</v>
      </c>
      <c r="AB20">
        <v>1</v>
      </c>
      <c r="AC20" s="6" t="s">
        <v>97</v>
      </c>
    </row>
    <row r="21" spans="1:29" ht="70" customHeight="1" x14ac:dyDescent="0.35">
      <c r="A21" t="s">
        <v>98</v>
      </c>
      <c r="B21" t="s">
        <v>25</v>
      </c>
      <c r="C21" s="6" t="s">
        <v>50</v>
      </c>
      <c r="D21" s="5"/>
      <c r="E21" s="5"/>
      <c r="F21" s="5">
        <v>749</v>
      </c>
      <c r="G21" s="5">
        <v>1</v>
      </c>
      <c r="H21" s="5"/>
      <c r="I21" s="5"/>
      <c r="J21" s="5"/>
      <c r="K21" s="5"/>
      <c r="L21" s="5"/>
      <c r="M21" s="5"/>
      <c r="N21" s="5"/>
      <c r="O21" s="5"/>
      <c r="P21" s="5"/>
      <c r="Q21" s="6" t="s">
        <v>63</v>
      </c>
      <c r="R21" s="6" t="s">
        <v>63</v>
      </c>
      <c r="S21" s="7" t="s">
        <v>5</v>
      </c>
      <c r="T21" t="s">
        <v>19</v>
      </c>
      <c r="U21" t="s">
        <v>28</v>
      </c>
      <c r="V21" t="s">
        <v>29</v>
      </c>
      <c r="W21" t="s">
        <v>52</v>
      </c>
      <c r="X21" t="s">
        <v>53</v>
      </c>
      <c r="Y21" s="6" t="s">
        <v>369</v>
      </c>
      <c r="Z21" t="s">
        <v>54</v>
      </c>
      <c r="AA21" t="s">
        <v>60</v>
      </c>
      <c r="AB21">
        <v>2</v>
      </c>
      <c r="AC21" s="6" t="s">
        <v>99</v>
      </c>
    </row>
    <row r="22" spans="1:29" ht="70" customHeight="1" x14ac:dyDescent="0.35">
      <c r="A22" t="s">
        <v>100</v>
      </c>
      <c r="B22" t="s">
        <v>25</v>
      </c>
      <c r="C22" s="6" t="s">
        <v>50</v>
      </c>
      <c r="D22" s="5"/>
      <c r="E22" s="5"/>
      <c r="F22" s="5">
        <v>750</v>
      </c>
      <c r="G22" s="5">
        <v>1249</v>
      </c>
      <c r="H22" s="5"/>
      <c r="I22" s="5"/>
      <c r="J22" s="5"/>
      <c r="K22" s="5"/>
      <c r="L22" s="5"/>
      <c r="M22" s="5"/>
      <c r="N22" s="5"/>
      <c r="O22" s="5"/>
      <c r="P22" s="5"/>
      <c r="Q22" s="6" t="s">
        <v>74</v>
      </c>
      <c r="R22" s="6" t="s">
        <v>74</v>
      </c>
      <c r="S22" s="7" t="s">
        <v>5</v>
      </c>
      <c r="T22" t="s">
        <v>19</v>
      </c>
      <c r="U22" t="s">
        <v>28</v>
      </c>
      <c r="V22" t="s">
        <v>29</v>
      </c>
      <c r="W22" t="s">
        <v>52</v>
      </c>
      <c r="X22" t="s">
        <v>53</v>
      </c>
      <c r="Y22" s="6" t="s">
        <v>370</v>
      </c>
      <c r="Z22" t="s">
        <v>54</v>
      </c>
      <c r="AA22" t="s">
        <v>55</v>
      </c>
      <c r="AB22">
        <v>1</v>
      </c>
      <c r="AC22" s="6" t="s">
        <v>101</v>
      </c>
    </row>
    <row r="23" spans="1:29" ht="70" customHeight="1" x14ac:dyDescent="0.35">
      <c r="A23" t="s">
        <v>102</v>
      </c>
      <c r="B23" t="s">
        <v>25</v>
      </c>
      <c r="C23" s="6" t="s">
        <v>50</v>
      </c>
      <c r="D23" s="5"/>
      <c r="E23" s="5"/>
      <c r="F23" s="5">
        <v>751</v>
      </c>
      <c r="G23" s="5">
        <v>1249</v>
      </c>
      <c r="H23" s="5"/>
      <c r="I23" s="5"/>
      <c r="J23" s="5"/>
      <c r="K23" s="5"/>
      <c r="L23" s="5"/>
      <c r="M23" s="5"/>
      <c r="N23" s="5"/>
      <c r="O23" s="5"/>
      <c r="P23" s="5"/>
      <c r="Q23" s="6" t="s">
        <v>77</v>
      </c>
      <c r="R23" s="6" t="s">
        <v>77</v>
      </c>
      <c r="S23" s="7" t="s">
        <v>5</v>
      </c>
      <c r="T23" t="s">
        <v>19</v>
      </c>
      <c r="U23" t="s">
        <v>28</v>
      </c>
      <c r="V23" t="s">
        <v>29</v>
      </c>
      <c r="W23" t="s">
        <v>52</v>
      </c>
      <c r="X23" t="s">
        <v>53</v>
      </c>
      <c r="Y23" s="6" t="s">
        <v>371</v>
      </c>
      <c r="Z23" t="s">
        <v>54</v>
      </c>
      <c r="AA23" t="s">
        <v>55</v>
      </c>
      <c r="AB23">
        <v>1</v>
      </c>
      <c r="AC23" s="6" t="s">
        <v>103</v>
      </c>
    </row>
    <row r="24" spans="1:29" ht="70" customHeight="1" x14ac:dyDescent="0.35">
      <c r="A24" t="s">
        <v>104</v>
      </c>
      <c r="B24" t="s">
        <v>25</v>
      </c>
      <c r="C24" s="6" t="s">
        <v>105</v>
      </c>
      <c r="D24" s="5"/>
      <c r="E24" s="5"/>
      <c r="F24" s="5"/>
      <c r="G24" s="5"/>
      <c r="H24" s="5">
        <v>0</v>
      </c>
      <c r="I24" s="5">
        <v>750</v>
      </c>
      <c r="J24" s="5"/>
      <c r="K24" s="5"/>
      <c r="L24" s="5"/>
      <c r="M24" s="5"/>
      <c r="N24" s="5">
        <v>1250</v>
      </c>
      <c r="O24" s="5">
        <v>750</v>
      </c>
      <c r="P24" s="5">
        <v>0.25</v>
      </c>
      <c r="Q24" s="6" t="s">
        <v>106</v>
      </c>
      <c r="R24" s="6" t="s">
        <v>106</v>
      </c>
      <c r="S24" s="7" t="s">
        <v>5</v>
      </c>
      <c r="T24" t="s">
        <v>19</v>
      </c>
      <c r="U24" t="s">
        <v>28</v>
      </c>
      <c r="V24" t="s">
        <v>29</v>
      </c>
      <c r="W24" t="s">
        <v>37</v>
      </c>
      <c r="X24" t="s">
        <v>107</v>
      </c>
      <c r="Y24" s="6" t="s">
        <v>372</v>
      </c>
      <c r="Z24" t="s">
        <v>108</v>
      </c>
      <c r="AA24" t="s">
        <v>109</v>
      </c>
      <c r="AB24">
        <v>2</v>
      </c>
      <c r="AC24" s="6" t="s">
        <v>110</v>
      </c>
    </row>
    <row r="25" spans="1:29" ht="70" customHeight="1" x14ac:dyDescent="0.35">
      <c r="A25" t="s">
        <v>111</v>
      </c>
      <c r="B25" t="s">
        <v>25</v>
      </c>
      <c r="C25" s="6" t="s">
        <v>105</v>
      </c>
      <c r="D25" s="5"/>
      <c r="E25" s="5"/>
      <c r="F25" s="5"/>
      <c r="G25" s="5"/>
      <c r="H25" s="5">
        <v>10000</v>
      </c>
      <c r="I25" s="5">
        <v>750</v>
      </c>
      <c r="J25" s="5"/>
      <c r="K25" s="5"/>
      <c r="L25" s="5"/>
      <c r="M25" s="5"/>
      <c r="N25" s="5">
        <v>1250</v>
      </c>
      <c r="O25" s="5">
        <v>750</v>
      </c>
      <c r="P25" s="5">
        <v>0.25</v>
      </c>
      <c r="Q25" s="6" t="s">
        <v>112</v>
      </c>
      <c r="R25" s="6" t="s">
        <v>112</v>
      </c>
      <c r="S25" s="7" t="s">
        <v>5</v>
      </c>
      <c r="T25" t="s">
        <v>19</v>
      </c>
      <c r="U25" t="s">
        <v>28</v>
      </c>
      <c r="V25" t="s">
        <v>29</v>
      </c>
      <c r="W25" t="s">
        <v>37</v>
      </c>
      <c r="X25" t="s">
        <v>107</v>
      </c>
      <c r="Y25" s="6" t="s">
        <v>373</v>
      </c>
      <c r="Z25" t="s">
        <v>108</v>
      </c>
      <c r="AA25" t="s">
        <v>113</v>
      </c>
      <c r="AB25">
        <v>1</v>
      </c>
      <c r="AC25" s="6" t="s">
        <v>114</v>
      </c>
    </row>
    <row r="26" spans="1:29" ht="70" customHeight="1" x14ac:dyDescent="0.35">
      <c r="A26" t="s">
        <v>115</v>
      </c>
      <c r="B26" t="s">
        <v>25</v>
      </c>
      <c r="C26" s="6" t="s">
        <v>105</v>
      </c>
      <c r="D26" s="5"/>
      <c r="E26" s="5"/>
      <c r="F26" s="5"/>
      <c r="G26" s="5"/>
      <c r="H26" s="5">
        <v>2999</v>
      </c>
      <c r="I26" s="5">
        <v>750</v>
      </c>
      <c r="J26" s="5"/>
      <c r="K26" s="5"/>
      <c r="L26" s="5"/>
      <c r="M26" s="5"/>
      <c r="N26" s="5">
        <v>1250</v>
      </c>
      <c r="O26" s="5">
        <v>750</v>
      </c>
      <c r="P26" s="5">
        <v>0.25</v>
      </c>
      <c r="Q26" s="6" t="s">
        <v>106</v>
      </c>
      <c r="R26" s="6" t="s">
        <v>106</v>
      </c>
      <c r="S26" s="7" t="s">
        <v>5</v>
      </c>
      <c r="T26" t="s">
        <v>19</v>
      </c>
      <c r="U26" t="s">
        <v>28</v>
      </c>
      <c r="V26" t="s">
        <v>29</v>
      </c>
      <c r="W26" t="s">
        <v>37</v>
      </c>
      <c r="X26" t="s">
        <v>107</v>
      </c>
      <c r="Y26" s="6" t="s">
        <v>374</v>
      </c>
      <c r="Z26" t="s">
        <v>108</v>
      </c>
      <c r="AA26" t="s">
        <v>109</v>
      </c>
      <c r="AB26">
        <v>2</v>
      </c>
      <c r="AC26" s="6" t="s">
        <v>116</v>
      </c>
    </row>
    <row r="27" spans="1:29" ht="70" customHeight="1" x14ac:dyDescent="0.35">
      <c r="A27" t="s">
        <v>117</v>
      </c>
      <c r="B27" t="s">
        <v>25</v>
      </c>
      <c r="C27" s="6" t="s">
        <v>105</v>
      </c>
      <c r="D27" s="5"/>
      <c r="E27" s="5"/>
      <c r="F27" s="5"/>
      <c r="G27" s="5"/>
      <c r="H27" s="5">
        <v>3000</v>
      </c>
      <c r="I27" s="5">
        <v>750</v>
      </c>
      <c r="J27" s="5"/>
      <c r="K27" s="5"/>
      <c r="L27" s="5"/>
      <c r="M27" s="5"/>
      <c r="N27" s="5">
        <v>1250</v>
      </c>
      <c r="O27" s="5">
        <v>750</v>
      </c>
      <c r="P27" s="5">
        <v>0.25</v>
      </c>
      <c r="Q27" s="6" t="s">
        <v>118</v>
      </c>
      <c r="R27" s="6" t="s">
        <v>118</v>
      </c>
      <c r="S27" s="7" t="s">
        <v>5</v>
      </c>
      <c r="T27" t="s">
        <v>19</v>
      </c>
      <c r="U27" t="s">
        <v>28</v>
      </c>
      <c r="V27" t="s">
        <v>29</v>
      </c>
      <c r="W27" t="s">
        <v>37</v>
      </c>
      <c r="X27" t="s">
        <v>107</v>
      </c>
      <c r="Y27" s="6" t="s">
        <v>375</v>
      </c>
      <c r="Z27" t="s">
        <v>108</v>
      </c>
      <c r="AA27" t="s">
        <v>113</v>
      </c>
      <c r="AB27">
        <v>1</v>
      </c>
      <c r="AC27" s="6" t="s">
        <v>119</v>
      </c>
    </row>
    <row r="28" spans="1:29" ht="70" customHeight="1" x14ac:dyDescent="0.35">
      <c r="A28" t="s">
        <v>120</v>
      </c>
      <c r="B28" t="s">
        <v>25</v>
      </c>
      <c r="C28" s="6" t="s">
        <v>105</v>
      </c>
      <c r="D28" s="5"/>
      <c r="E28" s="5"/>
      <c r="F28" s="5"/>
      <c r="G28" s="5"/>
      <c r="H28" s="5">
        <v>3001</v>
      </c>
      <c r="I28" s="5">
        <v>750</v>
      </c>
      <c r="J28" s="5"/>
      <c r="K28" s="5"/>
      <c r="L28" s="5"/>
      <c r="M28" s="5"/>
      <c r="N28" s="5">
        <v>1250</v>
      </c>
      <c r="O28" s="5">
        <v>750</v>
      </c>
      <c r="P28" s="5">
        <v>0.25</v>
      </c>
      <c r="Q28" s="6" t="s">
        <v>121</v>
      </c>
      <c r="R28" s="6" t="s">
        <v>121</v>
      </c>
      <c r="S28" s="7" t="s">
        <v>5</v>
      </c>
      <c r="T28" t="s">
        <v>19</v>
      </c>
      <c r="U28" t="s">
        <v>28</v>
      </c>
      <c r="V28" t="s">
        <v>29</v>
      </c>
      <c r="W28" t="s">
        <v>37</v>
      </c>
      <c r="X28" t="s">
        <v>107</v>
      </c>
      <c r="Y28" s="6" t="s">
        <v>376</v>
      </c>
      <c r="Z28" t="s">
        <v>108</v>
      </c>
      <c r="AA28" t="s">
        <v>113</v>
      </c>
      <c r="AB28">
        <v>1</v>
      </c>
      <c r="AC28" s="6" t="s">
        <v>122</v>
      </c>
    </row>
    <row r="29" spans="1:29" ht="70" customHeight="1" x14ac:dyDescent="0.35">
      <c r="A29" t="s">
        <v>123</v>
      </c>
      <c r="B29" t="s">
        <v>25</v>
      </c>
      <c r="C29" s="6" t="s">
        <v>105</v>
      </c>
      <c r="D29" s="5"/>
      <c r="E29" s="5"/>
      <c r="F29" s="5"/>
      <c r="G29" s="5"/>
      <c r="H29" s="5">
        <v>4999</v>
      </c>
      <c r="I29" s="5">
        <v>750</v>
      </c>
      <c r="J29" s="5"/>
      <c r="K29" s="5"/>
      <c r="L29" s="5"/>
      <c r="M29" s="5"/>
      <c r="N29" s="5">
        <v>1250</v>
      </c>
      <c r="O29" s="5">
        <v>750</v>
      </c>
      <c r="P29" s="5">
        <v>0.25</v>
      </c>
      <c r="Q29" s="6" t="s">
        <v>124</v>
      </c>
      <c r="R29" s="6" t="s">
        <v>124</v>
      </c>
      <c r="S29" s="7" t="s">
        <v>5</v>
      </c>
      <c r="T29" t="s">
        <v>19</v>
      </c>
      <c r="U29" t="s">
        <v>28</v>
      </c>
      <c r="V29" t="s">
        <v>29</v>
      </c>
      <c r="W29" t="s">
        <v>37</v>
      </c>
      <c r="X29" t="s">
        <v>107</v>
      </c>
      <c r="Y29" s="6" t="s">
        <v>377</v>
      </c>
      <c r="Z29" t="s">
        <v>108</v>
      </c>
      <c r="AA29" t="s">
        <v>113</v>
      </c>
      <c r="AB29">
        <v>1</v>
      </c>
      <c r="AC29" s="6" t="s">
        <v>125</v>
      </c>
    </row>
    <row r="30" spans="1:29" ht="70" customHeight="1" x14ac:dyDescent="0.35">
      <c r="A30" t="s">
        <v>126</v>
      </c>
      <c r="B30" t="s">
        <v>25</v>
      </c>
      <c r="C30" s="6" t="s">
        <v>105</v>
      </c>
      <c r="D30" s="5"/>
      <c r="E30" s="5"/>
      <c r="F30" s="5"/>
      <c r="G30" s="5"/>
      <c r="H30" s="5">
        <v>5000</v>
      </c>
      <c r="I30" s="5">
        <v>750</v>
      </c>
      <c r="J30" s="5"/>
      <c r="K30" s="5"/>
      <c r="L30" s="5"/>
      <c r="M30" s="5"/>
      <c r="N30" s="5">
        <v>1250</v>
      </c>
      <c r="O30" s="5">
        <v>750</v>
      </c>
      <c r="P30" s="5">
        <v>0.25</v>
      </c>
      <c r="Q30" s="6" t="s">
        <v>112</v>
      </c>
      <c r="R30" s="6" t="s">
        <v>112</v>
      </c>
      <c r="S30" s="7" t="s">
        <v>5</v>
      </c>
      <c r="T30" t="s">
        <v>19</v>
      </c>
      <c r="U30" t="s">
        <v>28</v>
      </c>
      <c r="V30" t="s">
        <v>29</v>
      </c>
      <c r="W30" t="s">
        <v>37</v>
      </c>
      <c r="X30" t="s">
        <v>107</v>
      </c>
      <c r="Y30" s="6" t="s">
        <v>378</v>
      </c>
      <c r="Z30" t="s">
        <v>108</v>
      </c>
      <c r="AA30" t="s">
        <v>113</v>
      </c>
      <c r="AB30">
        <v>1</v>
      </c>
      <c r="AC30" s="6" t="s">
        <v>127</v>
      </c>
    </row>
    <row r="31" spans="1:29" ht="70" customHeight="1" x14ac:dyDescent="0.35">
      <c r="A31" t="s">
        <v>128</v>
      </c>
      <c r="B31" t="s">
        <v>25</v>
      </c>
      <c r="C31" s="6" t="s">
        <v>105</v>
      </c>
      <c r="D31" s="5"/>
      <c r="E31" s="5"/>
      <c r="F31" s="5"/>
      <c r="G31" s="5"/>
      <c r="H31" s="5">
        <v>5001</v>
      </c>
      <c r="I31" s="5">
        <v>750</v>
      </c>
      <c r="J31" s="5"/>
      <c r="K31" s="5"/>
      <c r="L31" s="5"/>
      <c r="M31" s="5"/>
      <c r="N31" s="5">
        <v>1250</v>
      </c>
      <c r="O31" s="5">
        <v>750</v>
      </c>
      <c r="P31" s="5">
        <v>0.25</v>
      </c>
      <c r="Q31" s="6" t="s">
        <v>112</v>
      </c>
      <c r="R31" s="6" t="s">
        <v>112</v>
      </c>
      <c r="S31" s="7" t="s">
        <v>5</v>
      </c>
      <c r="T31" t="s">
        <v>19</v>
      </c>
      <c r="U31" t="s">
        <v>28</v>
      </c>
      <c r="V31" t="s">
        <v>29</v>
      </c>
      <c r="W31" t="s">
        <v>37</v>
      </c>
      <c r="X31" t="s">
        <v>107</v>
      </c>
      <c r="Y31" s="6" t="s">
        <v>379</v>
      </c>
      <c r="Z31" t="s">
        <v>108</v>
      </c>
      <c r="AA31" t="s">
        <v>113</v>
      </c>
      <c r="AB31">
        <v>1</v>
      </c>
      <c r="AC31" s="6" t="s">
        <v>129</v>
      </c>
    </row>
    <row r="32" spans="1:29" ht="70" customHeight="1" x14ac:dyDescent="0.35">
      <c r="A32" t="s">
        <v>130</v>
      </c>
      <c r="B32" t="s">
        <v>25</v>
      </c>
      <c r="C32" s="6" t="s">
        <v>26</v>
      </c>
      <c r="D32" s="5" t="s">
        <v>131</v>
      </c>
      <c r="E32" s="5" t="s">
        <v>27</v>
      </c>
      <c r="F32" s="5"/>
      <c r="G32" s="5"/>
      <c r="H32" s="5"/>
      <c r="I32" s="5"/>
      <c r="J32" s="5">
        <v>1000000</v>
      </c>
      <c r="K32" s="5">
        <v>1000000</v>
      </c>
      <c r="L32" s="5">
        <v>0</v>
      </c>
      <c r="M32" s="5">
        <v>0</v>
      </c>
      <c r="N32" s="5"/>
      <c r="O32" s="5"/>
      <c r="P32" s="5"/>
      <c r="Q32" s="6" t="s">
        <v>31</v>
      </c>
      <c r="R32" s="6" t="s">
        <v>31</v>
      </c>
      <c r="S32" s="7" t="s">
        <v>5</v>
      </c>
      <c r="T32" t="s">
        <v>19</v>
      </c>
      <c r="U32" t="s">
        <v>28</v>
      </c>
      <c r="V32" t="s">
        <v>29</v>
      </c>
      <c r="W32" t="s">
        <v>30</v>
      </c>
      <c r="X32" t="s">
        <v>132</v>
      </c>
      <c r="Y32" s="6" t="s">
        <v>380</v>
      </c>
      <c r="Z32" t="s">
        <v>133</v>
      </c>
      <c r="AA32" t="s">
        <v>134</v>
      </c>
      <c r="AB32">
        <v>7</v>
      </c>
      <c r="AC32" s="6" t="s">
        <v>135</v>
      </c>
    </row>
    <row r="33" spans="1:29" ht="70" customHeight="1" x14ac:dyDescent="0.35">
      <c r="A33" t="s">
        <v>136</v>
      </c>
      <c r="B33" t="s">
        <v>25</v>
      </c>
      <c r="C33" s="6" t="s">
        <v>26</v>
      </c>
      <c r="D33" s="5" t="s">
        <v>131</v>
      </c>
      <c r="E33" s="5" t="s">
        <v>27</v>
      </c>
      <c r="F33" s="5"/>
      <c r="G33" s="5"/>
      <c r="H33" s="5"/>
      <c r="I33" s="5"/>
      <c r="J33" s="5">
        <v>437500</v>
      </c>
      <c r="K33" s="5">
        <v>437500</v>
      </c>
      <c r="L33" s="5">
        <v>0</v>
      </c>
      <c r="M33" s="5">
        <v>0</v>
      </c>
      <c r="N33" s="5"/>
      <c r="O33" s="5"/>
      <c r="P33" s="5"/>
      <c r="Q33" s="6" t="s">
        <v>31</v>
      </c>
      <c r="R33" s="6" t="s">
        <v>31</v>
      </c>
      <c r="S33" s="7" t="s">
        <v>5</v>
      </c>
      <c r="T33" t="s">
        <v>19</v>
      </c>
      <c r="U33" t="s">
        <v>28</v>
      </c>
      <c r="V33" t="s">
        <v>29</v>
      </c>
      <c r="W33" t="s">
        <v>30</v>
      </c>
      <c r="X33" t="s">
        <v>132</v>
      </c>
      <c r="Y33" s="6" t="s">
        <v>381</v>
      </c>
      <c r="Z33" t="s">
        <v>133</v>
      </c>
      <c r="AA33" t="s">
        <v>134</v>
      </c>
      <c r="AB33">
        <v>7</v>
      </c>
      <c r="AC33" s="6" t="s">
        <v>137</v>
      </c>
    </row>
    <row r="34" spans="1:29" ht="70" customHeight="1" x14ac:dyDescent="0.35">
      <c r="A34" t="s">
        <v>138</v>
      </c>
      <c r="B34" t="s">
        <v>25</v>
      </c>
      <c r="C34" s="6" t="s">
        <v>26</v>
      </c>
      <c r="D34" s="5" t="s">
        <v>131</v>
      </c>
      <c r="E34" s="5" t="s">
        <v>139</v>
      </c>
      <c r="F34" s="5"/>
      <c r="G34" s="5"/>
      <c r="H34" s="5"/>
      <c r="I34" s="5"/>
      <c r="J34" s="5">
        <v>437500</v>
      </c>
      <c r="K34" s="5">
        <v>437500</v>
      </c>
      <c r="L34" s="5">
        <v>0</v>
      </c>
      <c r="M34" s="5">
        <v>0</v>
      </c>
      <c r="N34" s="5"/>
      <c r="O34" s="5"/>
      <c r="P34" s="5"/>
      <c r="Q34" s="6" t="s">
        <v>31</v>
      </c>
      <c r="R34" s="6" t="s">
        <v>31</v>
      </c>
      <c r="S34" s="7" t="s">
        <v>5</v>
      </c>
      <c r="T34" t="s">
        <v>19</v>
      </c>
      <c r="U34" t="s">
        <v>28</v>
      </c>
      <c r="V34" t="s">
        <v>29</v>
      </c>
      <c r="W34" t="s">
        <v>30</v>
      </c>
      <c r="X34" t="s">
        <v>132</v>
      </c>
      <c r="Y34" s="6" t="s">
        <v>382</v>
      </c>
      <c r="Z34" t="s">
        <v>133</v>
      </c>
      <c r="AA34" t="s">
        <v>134</v>
      </c>
      <c r="AB34">
        <v>7</v>
      </c>
      <c r="AC34" s="6" t="s">
        <v>140</v>
      </c>
    </row>
    <row r="35" spans="1:29" ht="70" customHeight="1" x14ac:dyDescent="0.35">
      <c r="A35" t="s">
        <v>141</v>
      </c>
      <c r="B35" t="s">
        <v>25</v>
      </c>
      <c r="C35" s="6" t="s">
        <v>26</v>
      </c>
      <c r="D35" s="5" t="s">
        <v>142</v>
      </c>
      <c r="E35" s="5" t="s">
        <v>27</v>
      </c>
      <c r="F35" s="5"/>
      <c r="G35" s="5"/>
      <c r="H35" s="5"/>
      <c r="I35" s="5"/>
      <c r="J35" s="5">
        <v>1000000</v>
      </c>
      <c r="K35" s="5">
        <v>1000000</v>
      </c>
      <c r="L35" s="5">
        <v>0</v>
      </c>
      <c r="M35" s="5">
        <v>0</v>
      </c>
      <c r="N35" s="5"/>
      <c r="O35" s="5"/>
      <c r="P35" s="5"/>
      <c r="Q35" s="6" t="s">
        <v>31</v>
      </c>
      <c r="R35" s="6" t="s">
        <v>31</v>
      </c>
      <c r="S35" s="7" t="s">
        <v>5</v>
      </c>
      <c r="T35" t="s">
        <v>19</v>
      </c>
      <c r="U35" t="s">
        <v>28</v>
      </c>
      <c r="V35" t="s">
        <v>29</v>
      </c>
      <c r="W35" t="s">
        <v>30</v>
      </c>
      <c r="X35" t="s">
        <v>132</v>
      </c>
      <c r="Y35" s="6" t="s">
        <v>383</v>
      </c>
      <c r="Z35" t="s">
        <v>133</v>
      </c>
      <c r="AA35" t="s">
        <v>134</v>
      </c>
      <c r="AB35">
        <v>7</v>
      </c>
      <c r="AC35" s="6" t="s">
        <v>143</v>
      </c>
    </row>
    <row r="36" spans="1:29" ht="70" customHeight="1" x14ac:dyDescent="0.35">
      <c r="A36" t="s">
        <v>144</v>
      </c>
      <c r="B36" t="s">
        <v>25</v>
      </c>
      <c r="C36" s="6" t="s">
        <v>26</v>
      </c>
      <c r="D36" s="5" t="s">
        <v>145</v>
      </c>
      <c r="E36" s="5" t="s">
        <v>27</v>
      </c>
      <c r="F36" s="5"/>
      <c r="G36" s="5"/>
      <c r="H36" s="5"/>
      <c r="I36" s="5"/>
      <c r="J36" s="5">
        <v>1000000</v>
      </c>
      <c r="K36" s="5">
        <v>1000000</v>
      </c>
      <c r="L36" s="5">
        <v>0</v>
      </c>
      <c r="M36" s="5">
        <v>0</v>
      </c>
      <c r="N36" s="5"/>
      <c r="O36" s="5"/>
      <c r="P36" s="5"/>
      <c r="Q36" s="6" t="s">
        <v>146</v>
      </c>
      <c r="R36" s="6" t="s">
        <v>146</v>
      </c>
      <c r="S36" s="7" t="s">
        <v>5</v>
      </c>
      <c r="T36" t="s">
        <v>19</v>
      </c>
      <c r="U36" t="s">
        <v>28</v>
      </c>
      <c r="V36" t="s">
        <v>29</v>
      </c>
      <c r="W36" t="s">
        <v>30</v>
      </c>
      <c r="X36" t="s">
        <v>132</v>
      </c>
      <c r="Y36" s="6" t="s">
        <v>384</v>
      </c>
      <c r="Z36" t="s">
        <v>133</v>
      </c>
      <c r="AA36" t="s">
        <v>147</v>
      </c>
      <c r="AB36">
        <v>1</v>
      </c>
      <c r="AC36" s="6" t="s">
        <v>148</v>
      </c>
    </row>
    <row r="37" spans="1:29" ht="70" customHeight="1" x14ac:dyDescent="0.35">
      <c r="A37" t="s">
        <v>149</v>
      </c>
      <c r="B37" t="s">
        <v>25</v>
      </c>
      <c r="C37" s="6" t="s">
        <v>26</v>
      </c>
      <c r="D37" s="5" t="s">
        <v>145</v>
      </c>
      <c r="E37" s="5" t="s">
        <v>27</v>
      </c>
      <c r="F37" s="5"/>
      <c r="G37" s="5"/>
      <c r="H37" s="5"/>
      <c r="I37" s="5"/>
      <c r="J37" s="5">
        <v>1000000</v>
      </c>
      <c r="K37" s="5">
        <v>1000000</v>
      </c>
      <c r="L37" s="5">
        <v>0</v>
      </c>
      <c r="M37" s="5">
        <v>1000000</v>
      </c>
      <c r="N37" s="5"/>
      <c r="O37" s="5"/>
      <c r="P37" s="5"/>
      <c r="Q37" s="6" t="s">
        <v>146</v>
      </c>
      <c r="R37" s="6" t="s">
        <v>146</v>
      </c>
      <c r="S37" s="7" t="s">
        <v>5</v>
      </c>
      <c r="T37" t="s">
        <v>19</v>
      </c>
      <c r="U37" t="s">
        <v>28</v>
      </c>
      <c r="V37" t="s">
        <v>29</v>
      </c>
      <c r="W37" t="s">
        <v>30</v>
      </c>
      <c r="X37" t="s">
        <v>132</v>
      </c>
      <c r="Y37" s="6" t="s">
        <v>385</v>
      </c>
      <c r="Z37" t="s">
        <v>133</v>
      </c>
      <c r="AA37" t="s">
        <v>147</v>
      </c>
      <c r="AB37">
        <v>1</v>
      </c>
      <c r="AC37" s="6" t="s">
        <v>150</v>
      </c>
    </row>
    <row r="38" spans="1:29" ht="70" customHeight="1" x14ac:dyDescent="0.35">
      <c r="A38" t="s">
        <v>151</v>
      </c>
      <c r="B38" t="s">
        <v>25</v>
      </c>
      <c r="C38" s="6" t="s">
        <v>26</v>
      </c>
      <c r="D38" s="5" t="s">
        <v>145</v>
      </c>
      <c r="E38" s="5" t="s">
        <v>27</v>
      </c>
      <c r="F38" s="5"/>
      <c r="G38" s="5"/>
      <c r="H38" s="5"/>
      <c r="I38" s="5"/>
      <c r="J38" s="5">
        <v>1000000</v>
      </c>
      <c r="K38" s="5">
        <v>1000000</v>
      </c>
      <c r="L38" s="5">
        <v>0</v>
      </c>
      <c r="M38" s="5">
        <v>1000001</v>
      </c>
      <c r="N38" s="5"/>
      <c r="O38" s="5"/>
      <c r="P38" s="5"/>
      <c r="Q38" s="6" t="s">
        <v>146</v>
      </c>
      <c r="R38" s="6" t="s">
        <v>146</v>
      </c>
      <c r="S38" s="7" t="s">
        <v>5</v>
      </c>
      <c r="T38" t="s">
        <v>19</v>
      </c>
      <c r="U38" t="s">
        <v>28</v>
      </c>
      <c r="V38" t="s">
        <v>29</v>
      </c>
      <c r="W38" t="s">
        <v>30</v>
      </c>
      <c r="X38" t="s">
        <v>132</v>
      </c>
      <c r="Y38" s="6" t="s">
        <v>386</v>
      </c>
      <c r="Z38" t="s">
        <v>133</v>
      </c>
      <c r="AA38" t="s">
        <v>147</v>
      </c>
      <c r="AB38">
        <v>1</v>
      </c>
      <c r="AC38" s="6" t="s">
        <v>152</v>
      </c>
    </row>
    <row r="39" spans="1:29" ht="70" customHeight="1" x14ac:dyDescent="0.35">
      <c r="A39" t="s">
        <v>153</v>
      </c>
      <c r="B39" t="s">
        <v>25</v>
      </c>
      <c r="C39" s="6" t="s">
        <v>26</v>
      </c>
      <c r="D39" s="5" t="s">
        <v>145</v>
      </c>
      <c r="E39" s="5" t="s">
        <v>27</v>
      </c>
      <c r="F39" s="5"/>
      <c r="G39" s="5"/>
      <c r="H39" s="5"/>
      <c r="I39" s="5"/>
      <c r="J39" s="5">
        <v>437500</v>
      </c>
      <c r="K39" s="5">
        <v>437500</v>
      </c>
      <c r="L39" s="5">
        <v>0</v>
      </c>
      <c r="M39" s="5">
        <v>0</v>
      </c>
      <c r="N39" s="5"/>
      <c r="O39" s="5"/>
      <c r="P39" s="5"/>
      <c r="Q39" s="6" t="s">
        <v>154</v>
      </c>
      <c r="R39" s="6" t="s">
        <v>154</v>
      </c>
      <c r="S39" s="7" t="s">
        <v>5</v>
      </c>
      <c r="T39" t="s">
        <v>19</v>
      </c>
      <c r="U39" t="s">
        <v>28</v>
      </c>
      <c r="V39" t="s">
        <v>29</v>
      </c>
      <c r="W39" t="s">
        <v>30</v>
      </c>
      <c r="X39" t="s">
        <v>132</v>
      </c>
      <c r="Y39" s="6" t="s">
        <v>387</v>
      </c>
      <c r="Z39" t="s">
        <v>133</v>
      </c>
      <c r="AA39" t="s">
        <v>147</v>
      </c>
      <c r="AB39">
        <v>1</v>
      </c>
      <c r="AC39" s="6" t="s">
        <v>155</v>
      </c>
    </row>
    <row r="40" spans="1:29" ht="70" customHeight="1" x14ac:dyDescent="0.35">
      <c r="A40" t="s">
        <v>156</v>
      </c>
      <c r="B40" t="s">
        <v>25</v>
      </c>
      <c r="C40" s="6" t="s">
        <v>26</v>
      </c>
      <c r="D40" s="5" t="s">
        <v>145</v>
      </c>
      <c r="E40" s="5" t="s">
        <v>27</v>
      </c>
      <c r="F40" s="5"/>
      <c r="G40" s="5"/>
      <c r="H40" s="5"/>
      <c r="I40" s="5"/>
      <c r="J40" s="5">
        <v>437500</v>
      </c>
      <c r="K40" s="5">
        <v>437500</v>
      </c>
      <c r="L40" s="5">
        <v>0</v>
      </c>
      <c r="M40" s="5">
        <v>1</v>
      </c>
      <c r="N40" s="5"/>
      <c r="O40" s="5"/>
      <c r="P40" s="5"/>
      <c r="Q40" s="6" t="s">
        <v>154</v>
      </c>
      <c r="R40" s="6" t="s">
        <v>154</v>
      </c>
      <c r="S40" s="7" t="s">
        <v>5</v>
      </c>
      <c r="T40" t="s">
        <v>19</v>
      </c>
      <c r="U40" t="s">
        <v>28</v>
      </c>
      <c r="V40" t="s">
        <v>29</v>
      </c>
      <c r="W40" t="s">
        <v>30</v>
      </c>
      <c r="X40" t="s">
        <v>132</v>
      </c>
      <c r="Y40" s="6" t="s">
        <v>388</v>
      </c>
      <c r="Z40" t="s">
        <v>133</v>
      </c>
      <c r="AA40" t="s">
        <v>147</v>
      </c>
      <c r="AB40">
        <v>1</v>
      </c>
      <c r="AC40" s="6" t="s">
        <v>157</v>
      </c>
    </row>
    <row r="41" spans="1:29" ht="70" customHeight="1" x14ac:dyDescent="0.35">
      <c r="A41" t="s">
        <v>158</v>
      </c>
      <c r="B41" t="s">
        <v>25</v>
      </c>
      <c r="C41" s="6" t="s">
        <v>26</v>
      </c>
      <c r="D41" s="5" t="s">
        <v>145</v>
      </c>
      <c r="E41" s="5" t="s">
        <v>139</v>
      </c>
      <c r="F41" s="5"/>
      <c r="G41" s="5"/>
      <c r="H41" s="5"/>
      <c r="I41" s="5"/>
      <c r="J41" s="5">
        <v>1000000</v>
      </c>
      <c r="K41" s="5">
        <v>1000000</v>
      </c>
      <c r="L41" s="5">
        <v>0</v>
      </c>
      <c r="M41" s="5">
        <v>0</v>
      </c>
      <c r="N41" s="5"/>
      <c r="O41" s="5"/>
      <c r="P41" s="5"/>
      <c r="Q41" s="6" t="s">
        <v>146</v>
      </c>
      <c r="R41" s="6" t="s">
        <v>146</v>
      </c>
      <c r="S41" s="7" t="s">
        <v>5</v>
      </c>
      <c r="T41" t="s">
        <v>19</v>
      </c>
      <c r="U41" t="s">
        <v>28</v>
      </c>
      <c r="V41" t="s">
        <v>29</v>
      </c>
      <c r="W41" t="s">
        <v>30</v>
      </c>
      <c r="X41" t="s">
        <v>132</v>
      </c>
      <c r="Y41" s="6" t="s">
        <v>389</v>
      </c>
      <c r="Z41" t="s">
        <v>133</v>
      </c>
      <c r="AA41" t="s">
        <v>159</v>
      </c>
      <c r="AB41">
        <v>2</v>
      </c>
      <c r="AC41" s="6" t="s">
        <v>160</v>
      </c>
    </row>
    <row r="42" spans="1:29" ht="70" customHeight="1" x14ac:dyDescent="0.35">
      <c r="A42" t="s">
        <v>161</v>
      </c>
      <c r="B42" t="s">
        <v>25</v>
      </c>
      <c r="C42" s="6" t="s">
        <v>26</v>
      </c>
      <c r="D42" s="5" t="s">
        <v>145</v>
      </c>
      <c r="E42" s="5" t="s">
        <v>139</v>
      </c>
      <c r="F42" s="5"/>
      <c r="G42" s="5"/>
      <c r="H42" s="5"/>
      <c r="I42" s="5"/>
      <c r="J42" s="5">
        <v>1000000</v>
      </c>
      <c r="K42" s="5">
        <v>1000000</v>
      </c>
      <c r="L42" s="5">
        <v>1000000</v>
      </c>
      <c r="M42" s="5">
        <v>0</v>
      </c>
      <c r="N42" s="5"/>
      <c r="O42" s="5"/>
      <c r="P42" s="5"/>
      <c r="Q42" s="6" t="s">
        <v>146</v>
      </c>
      <c r="R42" s="6" t="s">
        <v>146</v>
      </c>
      <c r="S42" s="7" t="s">
        <v>5</v>
      </c>
      <c r="T42" t="s">
        <v>19</v>
      </c>
      <c r="U42" t="s">
        <v>28</v>
      </c>
      <c r="V42" t="s">
        <v>29</v>
      </c>
      <c r="W42" t="s">
        <v>30</v>
      </c>
      <c r="X42" t="s">
        <v>132</v>
      </c>
      <c r="Y42" s="6" t="s">
        <v>390</v>
      </c>
      <c r="Z42" t="s">
        <v>133</v>
      </c>
      <c r="AA42" t="s">
        <v>159</v>
      </c>
      <c r="AB42">
        <v>2</v>
      </c>
      <c r="AC42" s="6" t="s">
        <v>162</v>
      </c>
    </row>
    <row r="43" spans="1:29" ht="70" customHeight="1" x14ac:dyDescent="0.35">
      <c r="A43" t="s">
        <v>163</v>
      </c>
      <c r="B43" t="s">
        <v>25</v>
      </c>
      <c r="C43" s="6" t="s">
        <v>26</v>
      </c>
      <c r="D43" s="5" t="s">
        <v>145</v>
      </c>
      <c r="E43" s="5" t="s">
        <v>139</v>
      </c>
      <c r="F43" s="5"/>
      <c r="G43" s="5"/>
      <c r="H43" s="5"/>
      <c r="I43" s="5"/>
      <c r="J43" s="5">
        <v>1000000</v>
      </c>
      <c r="K43" s="5">
        <v>1000000</v>
      </c>
      <c r="L43" s="5">
        <v>1000001</v>
      </c>
      <c r="M43" s="5">
        <v>0</v>
      </c>
      <c r="N43" s="5"/>
      <c r="O43" s="5"/>
      <c r="P43" s="5"/>
      <c r="Q43" s="6" t="s">
        <v>146</v>
      </c>
      <c r="R43" s="6" t="s">
        <v>146</v>
      </c>
      <c r="S43" s="7" t="s">
        <v>5</v>
      </c>
      <c r="T43" t="s">
        <v>19</v>
      </c>
      <c r="U43" t="s">
        <v>28</v>
      </c>
      <c r="V43" t="s">
        <v>29</v>
      </c>
      <c r="W43" t="s">
        <v>30</v>
      </c>
      <c r="X43" t="s">
        <v>132</v>
      </c>
      <c r="Y43" s="6" t="s">
        <v>391</v>
      </c>
      <c r="Z43" t="s">
        <v>133</v>
      </c>
      <c r="AA43" t="s">
        <v>159</v>
      </c>
      <c r="AB43">
        <v>2</v>
      </c>
      <c r="AC43" s="6" t="s">
        <v>164</v>
      </c>
    </row>
    <row r="44" spans="1:29" ht="70" customHeight="1" x14ac:dyDescent="0.35">
      <c r="A44" t="s">
        <v>165</v>
      </c>
      <c r="B44" t="s">
        <v>25</v>
      </c>
      <c r="C44" s="6" t="s">
        <v>26</v>
      </c>
      <c r="D44" s="5" t="s">
        <v>145</v>
      </c>
      <c r="E44" s="5" t="s">
        <v>139</v>
      </c>
      <c r="F44" s="5"/>
      <c r="G44" s="5"/>
      <c r="H44" s="5"/>
      <c r="I44" s="5"/>
      <c r="J44" s="5">
        <v>437500</v>
      </c>
      <c r="K44" s="5">
        <v>437500</v>
      </c>
      <c r="L44" s="5">
        <v>0</v>
      </c>
      <c r="M44" s="5">
        <v>0</v>
      </c>
      <c r="N44" s="5"/>
      <c r="O44" s="5"/>
      <c r="P44" s="5"/>
      <c r="Q44" s="6" t="s">
        <v>154</v>
      </c>
      <c r="R44" s="6" t="s">
        <v>154</v>
      </c>
      <c r="S44" s="7" t="s">
        <v>5</v>
      </c>
      <c r="T44" t="s">
        <v>19</v>
      </c>
      <c r="U44" t="s">
        <v>28</v>
      </c>
      <c r="V44" t="s">
        <v>29</v>
      </c>
      <c r="W44" t="s">
        <v>30</v>
      </c>
      <c r="X44" t="s">
        <v>132</v>
      </c>
      <c r="Y44" s="6" t="s">
        <v>392</v>
      </c>
      <c r="Z44" t="s">
        <v>133</v>
      </c>
      <c r="AA44" t="s">
        <v>159</v>
      </c>
      <c r="AB44">
        <v>2</v>
      </c>
      <c r="AC44" s="6" t="s">
        <v>166</v>
      </c>
    </row>
    <row r="45" spans="1:29" ht="70" customHeight="1" x14ac:dyDescent="0.35">
      <c r="A45" t="s">
        <v>167</v>
      </c>
      <c r="B45" t="s">
        <v>25</v>
      </c>
      <c r="C45" s="6" t="s">
        <v>26</v>
      </c>
      <c r="D45" s="5" t="s">
        <v>145</v>
      </c>
      <c r="E45" s="5" t="s">
        <v>139</v>
      </c>
      <c r="F45" s="5"/>
      <c r="G45" s="5"/>
      <c r="H45" s="5"/>
      <c r="I45" s="5"/>
      <c r="J45" s="5">
        <v>437500</v>
      </c>
      <c r="K45" s="5">
        <v>437500</v>
      </c>
      <c r="L45" s="5">
        <v>0</v>
      </c>
      <c r="M45" s="5">
        <v>1</v>
      </c>
      <c r="N45" s="5"/>
      <c r="O45" s="5"/>
      <c r="P45" s="5"/>
      <c r="Q45" s="6" t="s">
        <v>168</v>
      </c>
      <c r="R45" s="6" t="s">
        <v>168</v>
      </c>
      <c r="S45" s="7" t="s">
        <v>5</v>
      </c>
      <c r="T45" t="s">
        <v>19</v>
      </c>
      <c r="U45" t="s">
        <v>28</v>
      </c>
      <c r="V45" t="s">
        <v>29</v>
      </c>
      <c r="W45" t="s">
        <v>30</v>
      </c>
      <c r="X45" t="s">
        <v>132</v>
      </c>
      <c r="Y45" s="6" t="s">
        <v>393</v>
      </c>
      <c r="Z45" t="s">
        <v>133</v>
      </c>
      <c r="AA45" t="s">
        <v>159</v>
      </c>
      <c r="AB45">
        <v>2</v>
      </c>
      <c r="AC45" s="6" t="s">
        <v>169</v>
      </c>
    </row>
    <row r="46" spans="1:29" ht="70" customHeight="1" x14ac:dyDescent="0.35">
      <c r="A46" t="s">
        <v>170</v>
      </c>
      <c r="B46" t="s">
        <v>25</v>
      </c>
      <c r="C46" s="6" t="s">
        <v>26</v>
      </c>
      <c r="D46" s="5" t="s">
        <v>171</v>
      </c>
      <c r="E46" s="5" t="s">
        <v>27</v>
      </c>
      <c r="F46" s="5"/>
      <c r="G46" s="5"/>
      <c r="H46" s="5"/>
      <c r="I46" s="5"/>
      <c r="J46" s="5">
        <v>1000000</v>
      </c>
      <c r="K46" s="5">
        <v>1000000</v>
      </c>
      <c r="L46" s="5">
        <v>0</v>
      </c>
      <c r="M46" s="5">
        <v>0</v>
      </c>
      <c r="N46" s="5"/>
      <c r="O46" s="5"/>
      <c r="P46" s="5"/>
      <c r="Q46" s="6" t="s">
        <v>146</v>
      </c>
      <c r="R46" s="6" t="s">
        <v>146</v>
      </c>
      <c r="S46" s="7" t="s">
        <v>5</v>
      </c>
      <c r="T46" t="s">
        <v>19</v>
      </c>
      <c r="U46" t="s">
        <v>28</v>
      </c>
      <c r="V46" t="s">
        <v>29</v>
      </c>
      <c r="W46" t="s">
        <v>30</v>
      </c>
      <c r="X46" t="s">
        <v>132</v>
      </c>
      <c r="Y46" s="6" t="s">
        <v>394</v>
      </c>
      <c r="Z46" t="s">
        <v>133</v>
      </c>
      <c r="AA46" t="s">
        <v>147</v>
      </c>
      <c r="AB46">
        <v>1</v>
      </c>
      <c r="AC46" s="6" t="s">
        <v>172</v>
      </c>
    </row>
    <row r="47" spans="1:29" ht="70" customHeight="1" x14ac:dyDescent="0.35">
      <c r="A47" t="s">
        <v>173</v>
      </c>
      <c r="B47" t="s">
        <v>25</v>
      </c>
      <c r="C47" s="6" t="s">
        <v>26</v>
      </c>
      <c r="D47" s="5" t="s">
        <v>174</v>
      </c>
      <c r="E47" s="5" t="s">
        <v>27</v>
      </c>
      <c r="F47" s="5"/>
      <c r="G47" s="5"/>
      <c r="H47" s="5"/>
      <c r="I47" s="5"/>
      <c r="J47" s="5">
        <v>1000000</v>
      </c>
      <c r="K47" s="5">
        <v>1000000</v>
      </c>
      <c r="L47" s="5">
        <v>0</v>
      </c>
      <c r="M47" s="5">
        <v>0</v>
      </c>
      <c r="N47" s="5"/>
      <c r="O47" s="5"/>
      <c r="P47" s="5"/>
      <c r="Q47" s="6" t="s">
        <v>146</v>
      </c>
      <c r="R47" s="6" t="s">
        <v>146</v>
      </c>
      <c r="S47" s="7" t="s">
        <v>5</v>
      </c>
      <c r="T47" t="s">
        <v>19</v>
      </c>
      <c r="U47" t="s">
        <v>28</v>
      </c>
      <c r="V47" t="s">
        <v>29</v>
      </c>
      <c r="W47" t="s">
        <v>30</v>
      </c>
      <c r="X47" t="s">
        <v>132</v>
      </c>
      <c r="Y47" s="6" t="s">
        <v>395</v>
      </c>
      <c r="Z47" t="s">
        <v>133</v>
      </c>
      <c r="AA47" t="s">
        <v>147</v>
      </c>
      <c r="AB47">
        <v>1</v>
      </c>
      <c r="AC47" s="6" t="s">
        <v>175</v>
      </c>
    </row>
    <row r="48" spans="1:29" ht="70" customHeight="1" x14ac:dyDescent="0.35">
      <c r="A48" t="s">
        <v>176</v>
      </c>
      <c r="B48" t="s">
        <v>25</v>
      </c>
      <c r="C48" s="6" t="s">
        <v>26</v>
      </c>
      <c r="D48" s="5" t="s">
        <v>177</v>
      </c>
      <c r="E48" s="5" t="s">
        <v>27</v>
      </c>
      <c r="F48" s="5"/>
      <c r="G48" s="5"/>
      <c r="H48" s="5"/>
      <c r="I48" s="5"/>
      <c r="J48" s="5">
        <v>1000000</v>
      </c>
      <c r="K48" s="5">
        <v>1000000</v>
      </c>
      <c r="L48" s="5">
        <v>0</v>
      </c>
      <c r="M48" s="5">
        <v>0</v>
      </c>
      <c r="N48" s="5"/>
      <c r="O48" s="5"/>
      <c r="P48" s="5"/>
      <c r="Q48" s="6" t="s">
        <v>146</v>
      </c>
      <c r="R48" s="6" t="s">
        <v>146</v>
      </c>
      <c r="S48" s="7" t="s">
        <v>5</v>
      </c>
      <c r="T48" t="s">
        <v>19</v>
      </c>
      <c r="U48" t="s">
        <v>28</v>
      </c>
      <c r="V48" t="s">
        <v>29</v>
      </c>
      <c r="W48" t="s">
        <v>30</v>
      </c>
      <c r="X48" t="s">
        <v>132</v>
      </c>
      <c r="Y48" s="6" t="s">
        <v>396</v>
      </c>
      <c r="Z48" t="s">
        <v>133</v>
      </c>
      <c r="AA48" t="s">
        <v>147</v>
      </c>
      <c r="AB48">
        <v>1</v>
      </c>
      <c r="AC48" s="6" t="s">
        <v>178</v>
      </c>
    </row>
    <row r="49" spans="1:29" ht="70" customHeight="1" x14ac:dyDescent="0.35">
      <c r="A49" t="s">
        <v>179</v>
      </c>
      <c r="B49" t="s">
        <v>25</v>
      </c>
      <c r="C49" s="6" t="s">
        <v>26</v>
      </c>
      <c r="D49" s="5" t="s">
        <v>180</v>
      </c>
      <c r="E49" s="5" t="s">
        <v>27</v>
      </c>
      <c r="F49" s="5"/>
      <c r="G49" s="5"/>
      <c r="H49" s="5"/>
      <c r="I49" s="5"/>
      <c r="J49" s="5">
        <v>1000000</v>
      </c>
      <c r="K49" s="5">
        <v>1000000</v>
      </c>
      <c r="L49" s="5">
        <v>0</v>
      </c>
      <c r="M49" s="5">
        <v>0</v>
      </c>
      <c r="N49" s="5"/>
      <c r="O49" s="5"/>
      <c r="P49" s="5"/>
      <c r="Q49" s="6" t="s">
        <v>181</v>
      </c>
      <c r="R49" s="6" t="s">
        <v>181</v>
      </c>
      <c r="S49" s="7" t="s">
        <v>5</v>
      </c>
      <c r="T49" t="s">
        <v>19</v>
      </c>
      <c r="U49" t="s">
        <v>28</v>
      </c>
      <c r="V49" t="s">
        <v>29</v>
      </c>
      <c r="W49" t="s">
        <v>30</v>
      </c>
      <c r="X49" t="s">
        <v>132</v>
      </c>
      <c r="Y49" s="6" t="s">
        <v>397</v>
      </c>
      <c r="Z49" t="s">
        <v>133</v>
      </c>
      <c r="AA49" t="s">
        <v>182</v>
      </c>
      <c r="AB49">
        <v>3</v>
      </c>
      <c r="AC49" s="6" t="s">
        <v>183</v>
      </c>
    </row>
    <row r="50" spans="1:29" ht="70" customHeight="1" x14ac:dyDescent="0.35">
      <c r="A50" t="s">
        <v>184</v>
      </c>
      <c r="B50" t="s">
        <v>25</v>
      </c>
      <c r="C50" s="6" t="s">
        <v>26</v>
      </c>
      <c r="D50" s="5" t="s">
        <v>180</v>
      </c>
      <c r="E50" s="5" t="s">
        <v>27</v>
      </c>
      <c r="F50" s="5"/>
      <c r="G50" s="5"/>
      <c r="H50" s="5"/>
      <c r="I50" s="5"/>
      <c r="J50" s="5">
        <v>1000000</v>
      </c>
      <c r="K50" s="5">
        <v>1000000</v>
      </c>
      <c r="L50" s="5">
        <v>0</v>
      </c>
      <c r="M50" s="5">
        <v>1</v>
      </c>
      <c r="N50" s="5"/>
      <c r="O50" s="5"/>
      <c r="P50" s="5"/>
      <c r="Q50" s="6" t="s">
        <v>185</v>
      </c>
      <c r="R50" s="6" t="s">
        <v>185</v>
      </c>
      <c r="S50" s="7" t="s">
        <v>5</v>
      </c>
      <c r="T50" t="s">
        <v>19</v>
      </c>
      <c r="U50" t="s">
        <v>28</v>
      </c>
      <c r="V50" t="s">
        <v>29</v>
      </c>
      <c r="W50" t="s">
        <v>30</v>
      </c>
      <c r="X50" t="s">
        <v>132</v>
      </c>
      <c r="Y50" s="6" t="s">
        <v>398</v>
      </c>
      <c r="Z50" t="s">
        <v>133</v>
      </c>
      <c r="AA50" t="s">
        <v>182</v>
      </c>
      <c r="AB50">
        <v>3</v>
      </c>
      <c r="AC50" s="6" t="s">
        <v>186</v>
      </c>
    </row>
    <row r="51" spans="1:29" ht="70" customHeight="1" x14ac:dyDescent="0.35">
      <c r="A51" t="s">
        <v>187</v>
      </c>
      <c r="B51" t="s">
        <v>25</v>
      </c>
      <c r="C51" s="6" t="s">
        <v>26</v>
      </c>
      <c r="D51" s="5" t="s">
        <v>180</v>
      </c>
      <c r="E51" s="5" t="s">
        <v>27</v>
      </c>
      <c r="F51" s="5"/>
      <c r="G51" s="5"/>
      <c r="H51" s="5"/>
      <c r="I51" s="5"/>
      <c r="J51" s="5">
        <v>1000000</v>
      </c>
      <c r="K51" s="5">
        <v>1000000</v>
      </c>
      <c r="L51" s="5">
        <v>0</v>
      </c>
      <c r="M51" s="5">
        <v>437499</v>
      </c>
      <c r="N51" s="5"/>
      <c r="O51" s="5"/>
      <c r="P51" s="5"/>
      <c r="Q51" s="6" t="s">
        <v>188</v>
      </c>
      <c r="R51" s="6" t="s">
        <v>188</v>
      </c>
      <c r="S51" s="7" t="s">
        <v>5</v>
      </c>
      <c r="T51" t="s">
        <v>19</v>
      </c>
      <c r="U51" t="s">
        <v>28</v>
      </c>
      <c r="V51" t="s">
        <v>29</v>
      </c>
      <c r="W51" t="s">
        <v>30</v>
      </c>
      <c r="X51" t="s">
        <v>132</v>
      </c>
      <c r="Y51" s="6" t="s">
        <v>399</v>
      </c>
      <c r="Z51" t="s">
        <v>133</v>
      </c>
      <c r="AA51" t="s">
        <v>182</v>
      </c>
      <c r="AB51">
        <v>3</v>
      </c>
      <c r="AC51" s="6" t="s">
        <v>189</v>
      </c>
    </row>
    <row r="52" spans="1:29" ht="70" customHeight="1" x14ac:dyDescent="0.35">
      <c r="A52" t="s">
        <v>190</v>
      </c>
      <c r="B52" t="s">
        <v>25</v>
      </c>
      <c r="C52" s="6" t="s">
        <v>26</v>
      </c>
      <c r="D52" s="5" t="s">
        <v>180</v>
      </c>
      <c r="E52" s="5" t="s">
        <v>27</v>
      </c>
      <c r="F52" s="5"/>
      <c r="G52" s="5"/>
      <c r="H52" s="5"/>
      <c r="I52" s="5"/>
      <c r="J52" s="5">
        <v>1000000</v>
      </c>
      <c r="K52" s="5">
        <v>1000000</v>
      </c>
      <c r="L52" s="5">
        <v>0</v>
      </c>
      <c r="M52" s="5">
        <v>437500</v>
      </c>
      <c r="N52" s="5"/>
      <c r="O52" s="5"/>
      <c r="P52" s="5"/>
      <c r="Q52" s="6" t="s">
        <v>191</v>
      </c>
      <c r="R52" s="6" t="s">
        <v>191</v>
      </c>
      <c r="S52" s="7" t="s">
        <v>5</v>
      </c>
      <c r="T52" t="s">
        <v>19</v>
      </c>
      <c r="U52" t="s">
        <v>28</v>
      </c>
      <c r="V52" t="s">
        <v>29</v>
      </c>
      <c r="W52" t="s">
        <v>30</v>
      </c>
      <c r="X52" t="s">
        <v>132</v>
      </c>
      <c r="Y52" s="6" t="s">
        <v>400</v>
      </c>
      <c r="Z52" t="s">
        <v>133</v>
      </c>
      <c r="AA52" t="s">
        <v>182</v>
      </c>
      <c r="AB52">
        <v>3</v>
      </c>
      <c r="AC52" s="6" t="s">
        <v>192</v>
      </c>
    </row>
    <row r="53" spans="1:29" ht="70" customHeight="1" x14ac:dyDescent="0.35">
      <c r="A53" t="s">
        <v>193</v>
      </c>
      <c r="B53" t="s">
        <v>25</v>
      </c>
      <c r="C53" s="6" t="s">
        <v>26</v>
      </c>
      <c r="D53" s="5" t="s">
        <v>180</v>
      </c>
      <c r="E53" s="5" t="s">
        <v>27</v>
      </c>
      <c r="F53" s="5"/>
      <c r="G53" s="5"/>
      <c r="H53" s="5"/>
      <c r="I53" s="5"/>
      <c r="J53" s="5">
        <v>1000000</v>
      </c>
      <c r="K53" s="5">
        <v>1000000</v>
      </c>
      <c r="L53" s="5">
        <v>0</v>
      </c>
      <c r="M53" s="5">
        <v>437501</v>
      </c>
      <c r="N53" s="5"/>
      <c r="O53" s="5"/>
      <c r="P53" s="5"/>
      <c r="Q53" s="6" t="s">
        <v>194</v>
      </c>
      <c r="R53" s="6" t="s">
        <v>194</v>
      </c>
      <c r="S53" s="7" t="s">
        <v>5</v>
      </c>
      <c r="T53" t="s">
        <v>19</v>
      </c>
      <c r="U53" t="s">
        <v>28</v>
      </c>
      <c r="V53" t="s">
        <v>29</v>
      </c>
      <c r="W53" t="s">
        <v>30</v>
      </c>
      <c r="X53" t="s">
        <v>132</v>
      </c>
      <c r="Y53" s="6" t="s">
        <v>401</v>
      </c>
      <c r="Z53" t="s">
        <v>133</v>
      </c>
      <c r="AA53" t="s">
        <v>182</v>
      </c>
      <c r="AB53">
        <v>3</v>
      </c>
      <c r="AC53" s="6" t="s">
        <v>195</v>
      </c>
    </row>
    <row r="54" spans="1:29" ht="70" customHeight="1" x14ac:dyDescent="0.35">
      <c r="A54" t="s">
        <v>196</v>
      </c>
      <c r="B54" t="s">
        <v>25</v>
      </c>
      <c r="C54" s="6" t="s">
        <v>26</v>
      </c>
      <c r="D54" s="5" t="s">
        <v>180</v>
      </c>
      <c r="E54" s="5" t="s">
        <v>27</v>
      </c>
      <c r="F54" s="5"/>
      <c r="G54" s="5"/>
      <c r="H54" s="5"/>
      <c r="I54" s="5"/>
      <c r="J54" s="5">
        <v>1000000</v>
      </c>
      <c r="K54" s="5">
        <v>1000000</v>
      </c>
      <c r="L54" s="5">
        <v>0</v>
      </c>
      <c r="M54" s="5">
        <v>874999</v>
      </c>
      <c r="N54" s="5"/>
      <c r="O54" s="5"/>
      <c r="P54" s="5"/>
      <c r="Q54" s="6" t="s">
        <v>197</v>
      </c>
      <c r="R54" s="6" t="s">
        <v>197</v>
      </c>
      <c r="S54" s="7" t="s">
        <v>5</v>
      </c>
      <c r="T54" t="s">
        <v>19</v>
      </c>
      <c r="U54" t="s">
        <v>28</v>
      </c>
      <c r="V54" t="s">
        <v>29</v>
      </c>
      <c r="W54" t="s">
        <v>30</v>
      </c>
      <c r="X54" t="s">
        <v>132</v>
      </c>
      <c r="Y54" s="6" t="s">
        <v>402</v>
      </c>
      <c r="Z54" t="s">
        <v>133</v>
      </c>
      <c r="AA54" t="s">
        <v>182</v>
      </c>
      <c r="AB54">
        <v>3</v>
      </c>
      <c r="AC54" s="6" t="s">
        <v>198</v>
      </c>
    </row>
    <row r="55" spans="1:29" ht="70" customHeight="1" x14ac:dyDescent="0.35">
      <c r="A55" t="s">
        <v>199</v>
      </c>
      <c r="B55" t="s">
        <v>25</v>
      </c>
      <c r="C55" s="6" t="s">
        <v>26</v>
      </c>
      <c r="D55" s="5" t="s">
        <v>180</v>
      </c>
      <c r="E55" s="5" t="s">
        <v>27</v>
      </c>
      <c r="F55" s="5"/>
      <c r="G55" s="5"/>
      <c r="H55" s="5"/>
      <c r="I55" s="5"/>
      <c r="J55" s="5">
        <v>1000000</v>
      </c>
      <c r="K55" s="5">
        <v>1000000</v>
      </c>
      <c r="L55" s="5">
        <v>0</v>
      </c>
      <c r="M55" s="5">
        <v>875000</v>
      </c>
      <c r="N55" s="5"/>
      <c r="O55" s="5"/>
      <c r="P55" s="5"/>
      <c r="Q55" s="6" t="s">
        <v>200</v>
      </c>
      <c r="R55" s="6" t="s">
        <v>200</v>
      </c>
      <c r="S55" s="7" t="s">
        <v>5</v>
      </c>
      <c r="T55" t="s">
        <v>19</v>
      </c>
      <c r="U55" t="s">
        <v>28</v>
      </c>
      <c r="V55" t="s">
        <v>29</v>
      </c>
      <c r="W55" t="s">
        <v>30</v>
      </c>
      <c r="X55" t="s">
        <v>132</v>
      </c>
      <c r="Y55" s="6" t="s">
        <v>403</v>
      </c>
      <c r="Z55" t="s">
        <v>133</v>
      </c>
      <c r="AA55" t="s">
        <v>182</v>
      </c>
      <c r="AB55">
        <v>3</v>
      </c>
      <c r="AC55" s="6" t="s">
        <v>201</v>
      </c>
    </row>
    <row r="56" spans="1:29" ht="70" customHeight="1" x14ac:dyDescent="0.35">
      <c r="A56" t="s">
        <v>202</v>
      </c>
      <c r="B56" t="s">
        <v>25</v>
      </c>
      <c r="C56" s="6" t="s">
        <v>26</v>
      </c>
      <c r="D56" s="5" t="s">
        <v>180</v>
      </c>
      <c r="E56" s="5" t="s">
        <v>27</v>
      </c>
      <c r="F56" s="5"/>
      <c r="G56" s="5"/>
      <c r="H56" s="5"/>
      <c r="I56" s="5"/>
      <c r="J56" s="5">
        <v>1000000</v>
      </c>
      <c r="K56" s="5">
        <v>1000000</v>
      </c>
      <c r="L56" s="5">
        <v>0</v>
      </c>
      <c r="M56" s="5">
        <v>875001</v>
      </c>
      <c r="N56" s="5"/>
      <c r="O56" s="5"/>
      <c r="P56" s="5"/>
      <c r="Q56" s="6" t="s">
        <v>203</v>
      </c>
      <c r="R56" s="6" t="s">
        <v>203</v>
      </c>
      <c r="S56" s="7" t="s">
        <v>5</v>
      </c>
      <c r="T56" t="s">
        <v>19</v>
      </c>
      <c r="U56" t="s">
        <v>28</v>
      </c>
      <c r="V56" t="s">
        <v>29</v>
      </c>
      <c r="W56" t="s">
        <v>30</v>
      </c>
      <c r="X56" t="s">
        <v>132</v>
      </c>
      <c r="Y56" s="6" t="s">
        <v>404</v>
      </c>
      <c r="Z56" t="s">
        <v>133</v>
      </c>
      <c r="AA56" t="s">
        <v>182</v>
      </c>
      <c r="AB56">
        <v>3</v>
      </c>
      <c r="AC56" s="6" t="s">
        <v>204</v>
      </c>
    </row>
    <row r="57" spans="1:29" ht="70" customHeight="1" x14ac:dyDescent="0.35">
      <c r="A57" t="s">
        <v>205</v>
      </c>
      <c r="B57" t="s">
        <v>25</v>
      </c>
      <c r="C57" s="6" t="s">
        <v>26</v>
      </c>
      <c r="D57" s="5" t="s">
        <v>180</v>
      </c>
      <c r="E57" s="5" t="s">
        <v>27</v>
      </c>
      <c r="F57" s="5"/>
      <c r="G57" s="5"/>
      <c r="H57" s="5"/>
      <c r="I57" s="5"/>
      <c r="J57" s="5">
        <v>1000000</v>
      </c>
      <c r="K57" s="5">
        <v>1000000</v>
      </c>
      <c r="L57" s="5">
        <v>0</v>
      </c>
      <c r="M57" s="5">
        <v>999999</v>
      </c>
      <c r="N57" s="5"/>
      <c r="O57" s="5"/>
      <c r="P57" s="5"/>
      <c r="Q57" s="6" t="s">
        <v>206</v>
      </c>
      <c r="R57" s="6" t="s">
        <v>206</v>
      </c>
      <c r="S57" s="7" t="s">
        <v>5</v>
      </c>
      <c r="T57" t="s">
        <v>19</v>
      </c>
      <c r="U57" t="s">
        <v>28</v>
      </c>
      <c r="V57" t="s">
        <v>29</v>
      </c>
      <c r="W57" t="s">
        <v>30</v>
      </c>
      <c r="X57" t="s">
        <v>132</v>
      </c>
      <c r="Y57" s="6" t="s">
        <v>405</v>
      </c>
      <c r="Z57" t="s">
        <v>133</v>
      </c>
      <c r="AA57" t="s">
        <v>182</v>
      </c>
      <c r="AB57">
        <v>3</v>
      </c>
      <c r="AC57" s="6" t="s">
        <v>207</v>
      </c>
    </row>
    <row r="58" spans="1:29" ht="70" customHeight="1" x14ac:dyDescent="0.35">
      <c r="A58" t="s">
        <v>208</v>
      </c>
      <c r="B58" t="s">
        <v>25</v>
      </c>
      <c r="C58" s="6" t="s">
        <v>26</v>
      </c>
      <c r="D58" s="5" t="s">
        <v>180</v>
      </c>
      <c r="E58" s="5" t="s">
        <v>27</v>
      </c>
      <c r="F58" s="5"/>
      <c r="G58" s="5"/>
      <c r="H58" s="5"/>
      <c r="I58" s="5"/>
      <c r="J58" s="5">
        <v>1000000</v>
      </c>
      <c r="K58" s="5">
        <v>1000000</v>
      </c>
      <c r="L58" s="5">
        <v>1</v>
      </c>
      <c r="M58" s="5">
        <v>0</v>
      </c>
      <c r="N58" s="5"/>
      <c r="O58" s="5"/>
      <c r="P58" s="5"/>
      <c r="Q58" s="6" t="s">
        <v>185</v>
      </c>
      <c r="R58" s="6" t="s">
        <v>185</v>
      </c>
      <c r="S58" s="7" t="s">
        <v>5</v>
      </c>
      <c r="T58" t="s">
        <v>19</v>
      </c>
      <c r="U58" t="s">
        <v>28</v>
      </c>
      <c r="V58" t="s">
        <v>29</v>
      </c>
      <c r="W58" t="s">
        <v>30</v>
      </c>
      <c r="X58" t="s">
        <v>132</v>
      </c>
      <c r="Y58" s="6" t="s">
        <v>406</v>
      </c>
      <c r="Z58" t="s">
        <v>133</v>
      </c>
      <c r="AA58" t="s">
        <v>182</v>
      </c>
      <c r="AB58">
        <v>3</v>
      </c>
      <c r="AC58" s="6" t="s">
        <v>209</v>
      </c>
    </row>
    <row r="59" spans="1:29" ht="70" customHeight="1" x14ac:dyDescent="0.35">
      <c r="A59" t="s">
        <v>210</v>
      </c>
      <c r="B59" t="s">
        <v>25</v>
      </c>
      <c r="C59" s="6" t="s">
        <v>26</v>
      </c>
      <c r="D59" s="5" t="s">
        <v>180</v>
      </c>
      <c r="E59" s="5" t="s">
        <v>27</v>
      </c>
      <c r="F59" s="5"/>
      <c r="G59" s="5"/>
      <c r="H59" s="5"/>
      <c r="I59" s="5"/>
      <c r="J59" s="5">
        <v>1000000</v>
      </c>
      <c r="K59" s="5">
        <v>1000000</v>
      </c>
      <c r="L59" s="5">
        <v>437499</v>
      </c>
      <c r="M59" s="5">
        <v>0</v>
      </c>
      <c r="N59" s="5"/>
      <c r="O59" s="5"/>
      <c r="P59" s="5"/>
      <c r="Q59" s="6" t="s">
        <v>188</v>
      </c>
      <c r="R59" s="6" t="s">
        <v>188</v>
      </c>
      <c r="S59" s="7" t="s">
        <v>5</v>
      </c>
      <c r="T59" t="s">
        <v>19</v>
      </c>
      <c r="U59" t="s">
        <v>28</v>
      </c>
      <c r="V59" t="s">
        <v>29</v>
      </c>
      <c r="W59" t="s">
        <v>30</v>
      </c>
      <c r="X59" t="s">
        <v>132</v>
      </c>
      <c r="Y59" s="6" t="s">
        <v>407</v>
      </c>
      <c r="Z59" t="s">
        <v>133</v>
      </c>
      <c r="AA59" t="s">
        <v>182</v>
      </c>
      <c r="AB59">
        <v>3</v>
      </c>
      <c r="AC59" s="6" t="s">
        <v>211</v>
      </c>
    </row>
    <row r="60" spans="1:29" ht="70" customHeight="1" x14ac:dyDescent="0.35">
      <c r="A60" t="s">
        <v>212</v>
      </c>
      <c r="B60" t="s">
        <v>25</v>
      </c>
      <c r="C60" s="6" t="s">
        <v>26</v>
      </c>
      <c r="D60" s="5" t="s">
        <v>180</v>
      </c>
      <c r="E60" s="5" t="s">
        <v>27</v>
      </c>
      <c r="F60" s="5"/>
      <c r="G60" s="5"/>
      <c r="H60" s="5"/>
      <c r="I60" s="5"/>
      <c r="J60" s="5">
        <v>1000000</v>
      </c>
      <c r="K60" s="5">
        <v>1000000</v>
      </c>
      <c r="L60" s="5">
        <v>437500</v>
      </c>
      <c r="M60" s="5">
        <v>0</v>
      </c>
      <c r="N60" s="5"/>
      <c r="O60" s="5"/>
      <c r="P60" s="5"/>
      <c r="Q60" s="6" t="s">
        <v>191</v>
      </c>
      <c r="R60" s="6" t="s">
        <v>191</v>
      </c>
      <c r="S60" s="7" t="s">
        <v>5</v>
      </c>
      <c r="T60" t="s">
        <v>19</v>
      </c>
      <c r="U60" t="s">
        <v>28</v>
      </c>
      <c r="V60" t="s">
        <v>29</v>
      </c>
      <c r="W60" t="s">
        <v>30</v>
      </c>
      <c r="X60" t="s">
        <v>132</v>
      </c>
      <c r="Y60" s="6" t="s">
        <v>408</v>
      </c>
      <c r="Z60" t="s">
        <v>133</v>
      </c>
      <c r="AA60" t="s">
        <v>182</v>
      </c>
      <c r="AB60">
        <v>3</v>
      </c>
      <c r="AC60" s="6" t="s">
        <v>213</v>
      </c>
    </row>
    <row r="61" spans="1:29" ht="70" customHeight="1" x14ac:dyDescent="0.35">
      <c r="A61" t="s">
        <v>214</v>
      </c>
      <c r="B61" t="s">
        <v>25</v>
      </c>
      <c r="C61" s="6" t="s">
        <v>26</v>
      </c>
      <c r="D61" s="5" t="s">
        <v>180</v>
      </c>
      <c r="E61" s="5" t="s">
        <v>27</v>
      </c>
      <c r="F61" s="5"/>
      <c r="G61" s="5"/>
      <c r="H61" s="5"/>
      <c r="I61" s="5"/>
      <c r="J61" s="5">
        <v>1000000</v>
      </c>
      <c r="K61" s="5">
        <v>1000000</v>
      </c>
      <c r="L61" s="5">
        <v>437501</v>
      </c>
      <c r="M61" s="5">
        <v>0</v>
      </c>
      <c r="N61" s="5"/>
      <c r="O61" s="5"/>
      <c r="P61" s="5"/>
      <c r="Q61" s="6" t="s">
        <v>194</v>
      </c>
      <c r="R61" s="6" t="s">
        <v>194</v>
      </c>
      <c r="S61" s="7" t="s">
        <v>5</v>
      </c>
      <c r="T61" t="s">
        <v>19</v>
      </c>
      <c r="U61" t="s">
        <v>28</v>
      </c>
      <c r="V61" t="s">
        <v>29</v>
      </c>
      <c r="W61" t="s">
        <v>30</v>
      </c>
      <c r="X61" t="s">
        <v>132</v>
      </c>
      <c r="Y61" s="6" t="s">
        <v>409</v>
      </c>
      <c r="Z61" t="s">
        <v>133</v>
      </c>
      <c r="AA61" t="s">
        <v>182</v>
      </c>
      <c r="AB61">
        <v>3</v>
      </c>
      <c r="AC61" s="6" t="s">
        <v>215</v>
      </c>
    </row>
    <row r="62" spans="1:29" ht="70" customHeight="1" x14ac:dyDescent="0.35">
      <c r="A62" t="s">
        <v>216</v>
      </c>
      <c r="B62" t="s">
        <v>25</v>
      </c>
      <c r="C62" s="6" t="s">
        <v>26</v>
      </c>
      <c r="D62" s="5" t="s">
        <v>180</v>
      </c>
      <c r="E62" s="5" t="s">
        <v>27</v>
      </c>
      <c r="F62" s="5"/>
      <c r="G62" s="5"/>
      <c r="H62" s="5"/>
      <c r="I62" s="5"/>
      <c r="J62" s="5">
        <v>1000000</v>
      </c>
      <c r="K62" s="5">
        <v>1000000</v>
      </c>
      <c r="L62" s="5">
        <v>874999</v>
      </c>
      <c r="M62" s="5">
        <v>0</v>
      </c>
      <c r="N62" s="5"/>
      <c r="O62" s="5"/>
      <c r="P62" s="5"/>
      <c r="Q62" s="6" t="s">
        <v>197</v>
      </c>
      <c r="R62" s="6" t="s">
        <v>197</v>
      </c>
      <c r="S62" s="7" t="s">
        <v>5</v>
      </c>
      <c r="T62" t="s">
        <v>19</v>
      </c>
      <c r="U62" t="s">
        <v>28</v>
      </c>
      <c r="V62" t="s">
        <v>29</v>
      </c>
      <c r="W62" t="s">
        <v>30</v>
      </c>
      <c r="X62" t="s">
        <v>132</v>
      </c>
      <c r="Y62" s="6" t="s">
        <v>410</v>
      </c>
      <c r="Z62" t="s">
        <v>133</v>
      </c>
      <c r="AA62" t="s">
        <v>182</v>
      </c>
      <c r="AB62">
        <v>3</v>
      </c>
      <c r="AC62" s="6" t="s">
        <v>217</v>
      </c>
    </row>
    <row r="63" spans="1:29" ht="70" customHeight="1" x14ac:dyDescent="0.35">
      <c r="A63" t="s">
        <v>218</v>
      </c>
      <c r="B63" t="s">
        <v>25</v>
      </c>
      <c r="C63" s="6" t="s">
        <v>26</v>
      </c>
      <c r="D63" s="5" t="s">
        <v>180</v>
      </c>
      <c r="E63" s="5" t="s">
        <v>27</v>
      </c>
      <c r="F63" s="5"/>
      <c r="G63" s="5"/>
      <c r="H63" s="5"/>
      <c r="I63" s="5"/>
      <c r="J63" s="5">
        <v>1000000</v>
      </c>
      <c r="K63" s="5">
        <v>1000000</v>
      </c>
      <c r="L63" s="5">
        <v>875000</v>
      </c>
      <c r="M63" s="5">
        <v>0</v>
      </c>
      <c r="N63" s="5"/>
      <c r="O63" s="5"/>
      <c r="P63" s="5"/>
      <c r="Q63" s="6" t="s">
        <v>200</v>
      </c>
      <c r="R63" s="6" t="s">
        <v>200</v>
      </c>
      <c r="S63" s="7" t="s">
        <v>5</v>
      </c>
      <c r="T63" t="s">
        <v>19</v>
      </c>
      <c r="U63" t="s">
        <v>28</v>
      </c>
      <c r="V63" t="s">
        <v>29</v>
      </c>
      <c r="W63" t="s">
        <v>30</v>
      </c>
      <c r="X63" t="s">
        <v>132</v>
      </c>
      <c r="Y63" s="6" t="s">
        <v>411</v>
      </c>
      <c r="Z63" t="s">
        <v>133</v>
      </c>
      <c r="AA63" t="s">
        <v>182</v>
      </c>
      <c r="AB63">
        <v>3</v>
      </c>
      <c r="AC63" s="6" t="s">
        <v>219</v>
      </c>
    </row>
    <row r="64" spans="1:29" ht="70" customHeight="1" x14ac:dyDescent="0.35">
      <c r="A64" t="s">
        <v>220</v>
      </c>
      <c r="B64" t="s">
        <v>25</v>
      </c>
      <c r="C64" s="6" t="s">
        <v>26</v>
      </c>
      <c r="D64" s="5" t="s">
        <v>180</v>
      </c>
      <c r="E64" s="5" t="s">
        <v>27</v>
      </c>
      <c r="F64" s="5"/>
      <c r="G64" s="5"/>
      <c r="H64" s="5"/>
      <c r="I64" s="5"/>
      <c r="J64" s="5">
        <v>1000000</v>
      </c>
      <c r="K64" s="5">
        <v>1000000</v>
      </c>
      <c r="L64" s="5">
        <v>875001</v>
      </c>
      <c r="M64" s="5">
        <v>0</v>
      </c>
      <c r="N64" s="5"/>
      <c r="O64" s="5"/>
      <c r="P64" s="5"/>
      <c r="Q64" s="6" t="s">
        <v>203</v>
      </c>
      <c r="R64" s="6" t="s">
        <v>203</v>
      </c>
      <c r="S64" s="7" t="s">
        <v>5</v>
      </c>
      <c r="T64" t="s">
        <v>19</v>
      </c>
      <c r="U64" t="s">
        <v>28</v>
      </c>
      <c r="V64" t="s">
        <v>29</v>
      </c>
      <c r="W64" t="s">
        <v>30</v>
      </c>
      <c r="X64" t="s">
        <v>132</v>
      </c>
      <c r="Y64" s="6" t="s">
        <v>412</v>
      </c>
      <c r="Z64" t="s">
        <v>133</v>
      </c>
      <c r="AA64" t="s">
        <v>182</v>
      </c>
      <c r="AB64">
        <v>3</v>
      </c>
      <c r="AC64" s="6" t="s">
        <v>221</v>
      </c>
    </row>
    <row r="65" spans="1:29" ht="70" customHeight="1" x14ac:dyDescent="0.35">
      <c r="A65" t="s">
        <v>222</v>
      </c>
      <c r="B65" t="s">
        <v>25</v>
      </c>
      <c r="C65" s="6" t="s">
        <v>26</v>
      </c>
      <c r="D65" s="5" t="s">
        <v>180</v>
      </c>
      <c r="E65" s="5" t="s">
        <v>27</v>
      </c>
      <c r="F65" s="5"/>
      <c r="G65" s="5"/>
      <c r="H65" s="5"/>
      <c r="I65" s="5"/>
      <c r="J65" s="5">
        <v>1000000</v>
      </c>
      <c r="K65" s="5">
        <v>1000000</v>
      </c>
      <c r="L65" s="5">
        <v>999999</v>
      </c>
      <c r="M65" s="5">
        <v>0</v>
      </c>
      <c r="N65" s="5"/>
      <c r="O65" s="5"/>
      <c r="P65" s="5"/>
      <c r="Q65" s="6" t="s">
        <v>206</v>
      </c>
      <c r="R65" s="6" t="s">
        <v>206</v>
      </c>
      <c r="S65" s="7" t="s">
        <v>5</v>
      </c>
      <c r="T65" t="s">
        <v>19</v>
      </c>
      <c r="U65" t="s">
        <v>28</v>
      </c>
      <c r="V65" t="s">
        <v>29</v>
      </c>
      <c r="W65" t="s">
        <v>30</v>
      </c>
      <c r="X65" t="s">
        <v>132</v>
      </c>
      <c r="Y65" s="6" t="s">
        <v>413</v>
      </c>
      <c r="Z65" t="s">
        <v>133</v>
      </c>
      <c r="AA65" t="s">
        <v>182</v>
      </c>
      <c r="AB65">
        <v>3</v>
      </c>
      <c r="AC65" s="6" t="s">
        <v>223</v>
      </c>
    </row>
    <row r="66" spans="1:29" ht="70" customHeight="1" x14ac:dyDescent="0.35">
      <c r="A66" t="s">
        <v>224</v>
      </c>
      <c r="B66" t="s">
        <v>25</v>
      </c>
      <c r="C66" s="6" t="s">
        <v>26</v>
      </c>
      <c r="D66" s="5" t="s">
        <v>180</v>
      </c>
      <c r="E66" s="5" t="s">
        <v>27</v>
      </c>
      <c r="F66" s="5"/>
      <c r="G66" s="5"/>
      <c r="H66" s="5"/>
      <c r="I66" s="5"/>
      <c r="J66" s="5">
        <v>1000000</v>
      </c>
      <c r="K66" s="5">
        <v>437500</v>
      </c>
      <c r="L66" s="5">
        <v>0</v>
      </c>
      <c r="M66" s="5">
        <v>0</v>
      </c>
      <c r="N66" s="5"/>
      <c r="O66" s="5"/>
      <c r="P66" s="5"/>
      <c r="Q66" s="6" t="s">
        <v>225</v>
      </c>
      <c r="R66" s="6" t="s">
        <v>225</v>
      </c>
      <c r="S66" s="7" t="s">
        <v>5</v>
      </c>
      <c r="T66" t="s">
        <v>19</v>
      </c>
      <c r="U66" t="s">
        <v>28</v>
      </c>
      <c r="V66" t="s">
        <v>29</v>
      </c>
      <c r="W66" t="s">
        <v>30</v>
      </c>
      <c r="X66" t="s">
        <v>132</v>
      </c>
      <c r="Y66" s="6" t="s">
        <v>414</v>
      </c>
      <c r="Z66" t="s">
        <v>133</v>
      </c>
      <c r="AA66" t="s">
        <v>182</v>
      </c>
      <c r="AB66">
        <v>3</v>
      </c>
      <c r="AC66" s="6" t="s">
        <v>226</v>
      </c>
    </row>
    <row r="67" spans="1:29" ht="70" customHeight="1" x14ac:dyDescent="0.35">
      <c r="A67" t="s">
        <v>227</v>
      </c>
      <c r="B67" t="s">
        <v>25</v>
      </c>
      <c r="C67" s="6" t="s">
        <v>26</v>
      </c>
      <c r="D67" s="5" t="s">
        <v>180</v>
      </c>
      <c r="E67" s="5" t="s">
        <v>27</v>
      </c>
      <c r="F67" s="5"/>
      <c r="G67" s="5"/>
      <c r="H67" s="5"/>
      <c r="I67" s="5"/>
      <c r="J67" s="5">
        <v>1000000</v>
      </c>
      <c r="K67" s="5">
        <v>875000</v>
      </c>
      <c r="L67" s="5">
        <v>0</v>
      </c>
      <c r="M67" s="5">
        <v>0</v>
      </c>
      <c r="N67" s="5"/>
      <c r="O67" s="5"/>
      <c r="P67" s="5"/>
      <c r="Q67" s="6" t="s">
        <v>228</v>
      </c>
      <c r="R67" s="6" t="s">
        <v>228</v>
      </c>
      <c r="S67" s="7" t="s">
        <v>5</v>
      </c>
      <c r="T67" t="s">
        <v>19</v>
      </c>
      <c r="U67" t="s">
        <v>28</v>
      </c>
      <c r="V67" t="s">
        <v>29</v>
      </c>
      <c r="W67" t="s">
        <v>30</v>
      </c>
      <c r="X67" t="s">
        <v>132</v>
      </c>
      <c r="Y67" s="6" t="s">
        <v>415</v>
      </c>
      <c r="Z67" t="s">
        <v>133</v>
      </c>
      <c r="AA67" t="s">
        <v>182</v>
      </c>
      <c r="AB67">
        <v>3</v>
      </c>
      <c r="AC67" s="6" t="s">
        <v>229</v>
      </c>
    </row>
    <row r="68" spans="1:29" ht="70" customHeight="1" x14ac:dyDescent="0.35">
      <c r="A68" t="s">
        <v>230</v>
      </c>
      <c r="B68" t="s">
        <v>25</v>
      </c>
      <c r="C68" s="6" t="s">
        <v>26</v>
      </c>
      <c r="D68" s="5" t="s">
        <v>180</v>
      </c>
      <c r="E68" s="5" t="s">
        <v>27</v>
      </c>
      <c r="F68" s="5"/>
      <c r="G68" s="5"/>
      <c r="H68" s="5"/>
      <c r="I68" s="5"/>
      <c r="J68" s="5">
        <v>437500</v>
      </c>
      <c r="K68" s="5">
        <v>1000000</v>
      </c>
      <c r="L68" s="5">
        <v>0</v>
      </c>
      <c r="M68" s="5">
        <v>0</v>
      </c>
      <c r="N68" s="5"/>
      <c r="O68" s="5"/>
      <c r="P68" s="5"/>
      <c r="Q68" s="6" t="s">
        <v>225</v>
      </c>
      <c r="R68" s="6" t="s">
        <v>225</v>
      </c>
      <c r="S68" s="7" t="s">
        <v>5</v>
      </c>
      <c r="T68" t="s">
        <v>19</v>
      </c>
      <c r="U68" t="s">
        <v>28</v>
      </c>
      <c r="V68" t="s">
        <v>29</v>
      </c>
      <c r="W68" t="s">
        <v>30</v>
      </c>
      <c r="X68" t="s">
        <v>132</v>
      </c>
      <c r="Y68" s="6" t="s">
        <v>416</v>
      </c>
      <c r="Z68" t="s">
        <v>133</v>
      </c>
      <c r="AA68" t="s">
        <v>182</v>
      </c>
      <c r="AB68">
        <v>3</v>
      </c>
      <c r="AC68" s="6" t="s">
        <v>231</v>
      </c>
    </row>
    <row r="69" spans="1:29" ht="70" customHeight="1" x14ac:dyDescent="0.35">
      <c r="A69" t="s">
        <v>232</v>
      </c>
      <c r="B69" t="s">
        <v>25</v>
      </c>
      <c r="C69" s="6" t="s">
        <v>26</v>
      </c>
      <c r="D69" s="5" t="s">
        <v>180</v>
      </c>
      <c r="E69" s="5" t="s">
        <v>27</v>
      </c>
      <c r="F69" s="5"/>
      <c r="G69" s="5"/>
      <c r="H69" s="5"/>
      <c r="I69" s="5"/>
      <c r="J69" s="5">
        <v>437500</v>
      </c>
      <c r="K69" s="5">
        <v>437500</v>
      </c>
      <c r="L69" s="5">
        <v>0</v>
      </c>
      <c r="M69" s="5">
        <v>0</v>
      </c>
      <c r="N69" s="5"/>
      <c r="O69" s="5"/>
      <c r="P69" s="5"/>
      <c r="Q69" s="6" t="s">
        <v>233</v>
      </c>
      <c r="R69" s="6" t="s">
        <v>233</v>
      </c>
      <c r="S69" s="7" t="s">
        <v>5</v>
      </c>
      <c r="T69" t="s">
        <v>19</v>
      </c>
      <c r="U69" t="s">
        <v>28</v>
      </c>
      <c r="V69" t="s">
        <v>29</v>
      </c>
      <c r="W69" t="s">
        <v>30</v>
      </c>
      <c r="X69" t="s">
        <v>132</v>
      </c>
      <c r="Y69" s="6" t="s">
        <v>417</v>
      </c>
      <c r="Z69" t="s">
        <v>133</v>
      </c>
      <c r="AA69" t="s">
        <v>182</v>
      </c>
      <c r="AB69">
        <v>3</v>
      </c>
      <c r="AC69" s="6" t="s">
        <v>234</v>
      </c>
    </row>
    <row r="70" spans="1:29" ht="70" customHeight="1" x14ac:dyDescent="0.35">
      <c r="A70" t="s">
        <v>235</v>
      </c>
      <c r="B70" t="s">
        <v>25</v>
      </c>
      <c r="C70" s="6" t="s">
        <v>26</v>
      </c>
      <c r="D70" s="5" t="s">
        <v>180</v>
      </c>
      <c r="E70" s="5" t="s">
        <v>27</v>
      </c>
      <c r="F70" s="5"/>
      <c r="G70" s="5"/>
      <c r="H70" s="5"/>
      <c r="I70" s="5"/>
      <c r="J70" s="5">
        <v>875000</v>
      </c>
      <c r="K70" s="5">
        <v>1000000</v>
      </c>
      <c r="L70" s="5">
        <v>0</v>
      </c>
      <c r="M70" s="5">
        <v>0</v>
      </c>
      <c r="N70" s="5"/>
      <c r="O70" s="5"/>
      <c r="P70" s="5"/>
      <c r="Q70" s="6" t="s">
        <v>228</v>
      </c>
      <c r="R70" s="6" t="s">
        <v>228</v>
      </c>
      <c r="S70" s="7" t="s">
        <v>5</v>
      </c>
      <c r="T70" t="s">
        <v>19</v>
      </c>
      <c r="U70" t="s">
        <v>28</v>
      </c>
      <c r="V70" t="s">
        <v>29</v>
      </c>
      <c r="W70" t="s">
        <v>30</v>
      </c>
      <c r="X70" t="s">
        <v>132</v>
      </c>
      <c r="Y70" s="6" t="s">
        <v>418</v>
      </c>
      <c r="Z70" t="s">
        <v>133</v>
      </c>
      <c r="AA70" t="s">
        <v>182</v>
      </c>
      <c r="AB70">
        <v>3</v>
      </c>
      <c r="AC70" s="6" t="s">
        <v>236</v>
      </c>
    </row>
    <row r="71" spans="1:29" ht="70" customHeight="1" x14ac:dyDescent="0.35">
      <c r="A71" t="s">
        <v>237</v>
      </c>
      <c r="B71" t="s">
        <v>25</v>
      </c>
      <c r="C71" s="6" t="s">
        <v>26</v>
      </c>
      <c r="D71" s="5" t="s">
        <v>180</v>
      </c>
      <c r="E71" s="5" t="s">
        <v>139</v>
      </c>
      <c r="F71" s="5"/>
      <c r="G71" s="5"/>
      <c r="H71" s="5"/>
      <c r="I71" s="5"/>
      <c r="J71" s="5">
        <v>1000000</v>
      </c>
      <c r="K71" s="5">
        <v>1000000</v>
      </c>
      <c r="L71" s="5">
        <v>0</v>
      </c>
      <c r="M71" s="5">
        <v>0</v>
      </c>
      <c r="N71" s="5"/>
      <c r="O71" s="5"/>
      <c r="P71" s="5"/>
      <c r="Q71" s="6" t="s">
        <v>181</v>
      </c>
      <c r="R71" s="6" t="s">
        <v>181</v>
      </c>
      <c r="S71" s="7" t="s">
        <v>5</v>
      </c>
      <c r="T71" t="s">
        <v>19</v>
      </c>
      <c r="U71" t="s">
        <v>28</v>
      </c>
      <c r="V71" t="s">
        <v>29</v>
      </c>
      <c r="W71" t="s">
        <v>30</v>
      </c>
      <c r="X71" t="s">
        <v>132</v>
      </c>
      <c r="Y71" s="6" t="s">
        <v>419</v>
      </c>
      <c r="Z71" t="s">
        <v>133</v>
      </c>
      <c r="AA71" t="s">
        <v>182</v>
      </c>
      <c r="AB71">
        <v>3</v>
      </c>
      <c r="AC71" s="6" t="s">
        <v>238</v>
      </c>
    </row>
    <row r="72" spans="1:29" ht="70" customHeight="1" x14ac:dyDescent="0.35">
      <c r="A72" t="s">
        <v>239</v>
      </c>
      <c r="B72" t="s">
        <v>25</v>
      </c>
      <c r="C72" s="6" t="s">
        <v>26</v>
      </c>
      <c r="D72" s="5" t="s">
        <v>180</v>
      </c>
      <c r="E72" s="5" t="s">
        <v>139</v>
      </c>
      <c r="F72" s="5"/>
      <c r="G72" s="5"/>
      <c r="H72" s="5"/>
      <c r="I72" s="5"/>
      <c r="J72" s="5">
        <v>437500</v>
      </c>
      <c r="K72" s="5">
        <v>437500</v>
      </c>
      <c r="L72" s="5">
        <v>0</v>
      </c>
      <c r="M72" s="5">
        <v>0</v>
      </c>
      <c r="N72" s="5"/>
      <c r="O72" s="5"/>
      <c r="P72" s="5"/>
      <c r="Q72" s="6" t="s">
        <v>233</v>
      </c>
      <c r="R72" s="6" t="s">
        <v>233</v>
      </c>
      <c r="S72" s="7" t="s">
        <v>5</v>
      </c>
      <c r="T72" t="s">
        <v>19</v>
      </c>
      <c r="U72" t="s">
        <v>28</v>
      </c>
      <c r="V72" t="s">
        <v>29</v>
      </c>
      <c r="W72" t="s">
        <v>30</v>
      </c>
      <c r="X72" t="s">
        <v>132</v>
      </c>
      <c r="Y72" s="6" t="s">
        <v>420</v>
      </c>
      <c r="Z72" t="s">
        <v>133</v>
      </c>
      <c r="AA72" t="s">
        <v>182</v>
      </c>
      <c r="AB72">
        <v>3</v>
      </c>
      <c r="AC72" s="6" t="s">
        <v>240</v>
      </c>
    </row>
    <row r="73" spans="1:29" ht="70" customHeight="1" x14ac:dyDescent="0.35">
      <c r="A73" t="s">
        <v>241</v>
      </c>
      <c r="B73" t="s">
        <v>25</v>
      </c>
      <c r="C73" s="6" t="s">
        <v>26</v>
      </c>
      <c r="D73" s="5" t="s">
        <v>180</v>
      </c>
      <c r="E73" s="5" t="s">
        <v>242</v>
      </c>
      <c r="F73" s="5"/>
      <c r="G73" s="5"/>
      <c r="H73" s="5"/>
      <c r="I73" s="5"/>
      <c r="J73" s="5">
        <v>1000000</v>
      </c>
      <c r="K73" s="5">
        <v>1000000</v>
      </c>
      <c r="L73" s="5">
        <v>0</v>
      </c>
      <c r="M73" s="5">
        <v>0</v>
      </c>
      <c r="N73" s="5"/>
      <c r="O73" s="5"/>
      <c r="P73" s="5"/>
      <c r="Q73" s="6" t="s">
        <v>181</v>
      </c>
      <c r="R73" s="6" t="s">
        <v>181</v>
      </c>
      <c r="S73" s="7" t="s">
        <v>5</v>
      </c>
      <c r="T73" t="s">
        <v>19</v>
      </c>
      <c r="U73" t="s">
        <v>28</v>
      </c>
      <c r="V73" t="s">
        <v>29</v>
      </c>
      <c r="W73" t="s">
        <v>30</v>
      </c>
      <c r="X73" t="s">
        <v>132</v>
      </c>
      <c r="Y73" s="6" t="s">
        <v>421</v>
      </c>
      <c r="Z73" t="s">
        <v>133</v>
      </c>
      <c r="AA73" t="s">
        <v>182</v>
      </c>
      <c r="AB73">
        <v>3</v>
      </c>
      <c r="AC73" s="6" t="s">
        <v>243</v>
      </c>
    </row>
    <row r="74" spans="1:29" ht="70" customHeight="1" x14ac:dyDescent="0.35">
      <c r="A74" t="s">
        <v>244</v>
      </c>
      <c r="B74" t="s">
        <v>25</v>
      </c>
      <c r="C74" s="6" t="s">
        <v>26</v>
      </c>
      <c r="D74" s="5" t="s">
        <v>245</v>
      </c>
      <c r="E74" s="5" t="s">
        <v>27</v>
      </c>
      <c r="F74" s="5"/>
      <c r="G74" s="5"/>
      <c r="H74" s="5"/>
      <c r="I74" s="5"/>
      <c r="J74" s="5">
        <v>1000000</v>
      </c>
      <c r="K74" s="5">
        <v>1000000</v>
      </c>
      <c r="L74" s="5">
        <v>0</v>
      </c>
      <c r="M74" s="5">
        <v>0</v>
      </c>
      <c r="N74" s="5"/>
      <c r="O74" s="5"/>
      <c r="P74" s="5"/>
      <c r="Q74" s="6" t="s">
        <v>181</v>
      </c>
      <c r="R74" s="6" t="s">
        <v>181</v>
      </c>
      <c r="S74" s="7" t="s">
        <v>5</v>
      </c>
      <c r="T74" t="s">
        <v>19</v>
      </c>
      <c r="U74" t="s">
        <v>28</v>
      </c>
      <c r="V74" t="s">
        <v>29</v>
      </c>
      <c r="W74" t="s">
        <v>30</v>
      </c>
      <c r="X74" t="s">
        <v>132</v>
      </c>
      <c r="Y74" s="6" t="s">
        <v>422</v>
      </c>
      <c r="Z74" t="s">
        <v>133</v>
      </c>
      <c r="AA74" t="s">
        <v>182</v>
      </c>
      <c r="AB74">
        <v>3</v>
      </c>
      <c r="AC74" s="6" t="s">
        <v>246</v>
      </c>
    </row>
    <row r="75" spans="1:29" ht="70" customHeight="1" x14ac:dyDescent="0.35">
      <c r="A75" t="s">
        <v>247</v>
      </c>
      <c r="B75" t="s">
        <v>25</v>
      </c>
      <c r="C75" s="6" t="s">
        <v>26</v>
      </c>
      <c r="D75" s="5" t="s">
        <v>248</v>
      </c>
      <c r="E75" s="5" t="s">
        <v>27</v>
      </c>
      <c r="F75" s="5"/>
      <c r="G75" s="5"/>
      <c r="H75" s="5"/>
      <c r="I75" s="5"/>
      <c r="J75" s="5">
        <v>1000000</v>
      </c>
      <c r="K75" s="5">
        <v>1000000</v>
      </c>
      <c r="L75" s="5">
        <v>0</v>
      </c>
      <c r="M75" s="5">
        <v>0</v>
      </c>
      <c r="N75" s="5"/>
      <c r="O75" s="5"/>
      <c r="P75" s="5"/>
      <c r="Q75" s="6" t="s">
        <v>181</v>
      </c>
      <c r="R75" s="6" t="s">
        <v>181</v>
      </c>
      <c r="S75" s="7" t="s">
        <v>5</v>
      </c>
      <c r="T75" t="s">
        <v>19</v>
      </c>
      <c r="U75" t="s">
        <v>28</v>
      </c>
      <c r="V75" t="s">
        <v>29</v>
      </c>
      <c r="W75" t="s">
        <v>30</v>
      </c>
      <c r="X75" t="s">
        <v>132</v>
      </c>
      <c r="Y75" s="6" t="s">
        <v>423</v>
      </c>
      <c r="Z75" t="s">
        <v>133</v>
      </c>
      <c r="AA75" t="s">
        <v>182</v>
      </c>
      <c r="AB75">
        <v>3</v>
      </c>
      <c r="AC75" s="6" t="s">
        <v>249</v>
      </c>
    </row>
    <row r="76" spans="1:29" ht="70" customHeight="1" x14ac:dyDescent="0.35">
      <c r="A76" t="s">
        <v>250</v>
      </c>
      <c r="B76" t="s">
        <v>25</v>
      </c>
      <c r="C76" s="6" t="s">
        <v>26</v>
      </c>
      <c r="D76" s="5" t="s">
        <v>251</v>
      </c>
      <c r="E76" s="5" t="s">
        <v>27</v>
      </c>
      <c r="F76" s="5"/>
      <c r="G76" s="5"/>
      <c r="H76" s="5"/>
      <c r="I76" s="5"/>
      <c r="J76" s="5">
        <v>1000000</v>
      </c>
      <c r="K76" s="5">
        <v>1000000</v>
      </c>
      <c r="L76" s="5">
        <v>0</v>
      </c>
      <c r="M76" s="5">
        <v>0</v>
      </c>
      <c r="N76" s="5"/>
      <c r="O76" s="5"/>
      <c r="P76" s="5"/>
      <c r="Q76" s="6" t="s">
        <v>181</v>
      </c>
      <c r="R76" s="6" t="s">
        <v>181</v>
      </c>
      <c r="S76" s="7" t="s">
        <v>5</v>
      </c>
      <c r="T76" t="s">
        <v>19</v>
      </c>
      <c r="U76" t="s">
        <v>28</v>
      </c>
      <c r="V76" t="s">
        <v>29</v>
      </c>
      <c r="W76" t="s">
        <v>30</v>
      </c>
      <c r="X76" t="s">
        <v>132</v>
      </c>
      <c r="Y76" s="6" t="s">
        <v>424</v>
      </c>
      <c r="Z76" t="s">
        <v>133</v>
      </c>
      <c r="AA76" t="s">
        <v>182</v>
      </c>
      <c r="AB76">
        <v>3</v>
      </c>
      <c r="AC76" s="6" t="s">
        <v>252</v>
      </c>
    </row>
    <row r="77" spans="1:29" ht="70" customHeight="1" x14ac:dyDescent="0.35">
      <c r="A77" t="s">
        <v>253</v>
      </c>
      <c r="B77" t="s">
        <v>25</v>
      </c>
      <c r="C77" s="6" t="s">
        <v>26</v>
      </c>
      <c r="D77" s="5" t="s">
        <v>251</v>
      </c>
      <c r="E77" s="5" t="s">
        <v>242</v>
      </c>
      <c r="F77" s="5"/>
      <c r="G77" s="5"/>
      <c r="H77" s="5"/>
      <c r="I77" s="5"/>
      <c r="J77" s="5">
        <v>1000000</v>
      </c>
      <c r="K77" s="5">
        <v>1000000</v>
      </c>
      <c r="L77" s="5">
        <v>0</v>
      </c>
      <c r="M77" s="5">
        <v>0</v>
      </c>
      <c r="N77" s="5"/>
      <c r="O77" s="5"/>
      <c r="P77" s="5"/>
      <c r="Q77" s="6" t="s">
        <v>181</v>
      </c>
      <c r="R77" s="6" t="s">
        <v>181</v>
      </c>
      <c r="S77" s="7" t="s">
        <v>5</v>
      </c>
      <c r="T77" t="s">
        <v>19</v>
      </c>
      <c r="U77" t="s">
        <v>28</v>
      </c>
      <c r="V77" t="s">
        <v>29</v>
      </c>
      <c r="W77" t="s">
        <v>30</v>
      </c>
      <c r="X77" t="s">
        <v>132</v>
      </c>
      <c r="Y77" s="6" t="s">
        <v>425</v>
      </c>
      <c r="Z77" t="s">
        <v>133</v>
      </c>
      <c r="AA77" t="s">
        <v>182</v>
      </c>
      <c r="AB77">
        <v>3</v>
      </c>
      <c r="AC77" s="6" t="s">
        <v>254</v>
      </c>
    </row>
    <row r="78" spans="1:29" ht="70" customHeight="1" x14ac:dyDescent="0.35">
      <c r="A78" t="s">
        <v>255</v>
      </c>
      <c r="B78" t="s">
        <v>25</v>
      </c>
      <c r="C78" s="6" t="s">
        <v>26</v>
      </c>
      <c r="D78" s="5" t="s">
        <v>256</v>
      </c>
      <c r="E78" s="5" t="s">
        <v>27</v>
      </c>
      <c r="F78" s="5"/>
      <c r="G78" s="5"/>
      <c r="H78" s="5"/>
      <c r="I78" s="5"/>
      <c r="J78" s="5">
        <v>1000000</v>
      </c>
      <c r="K78" s="5">
        <v>1000000</v>
      </c>
      <c r="L78" s="5">
        <v>0</v>
      </c>
      <c r="M78" s="5">
        <v>0</v>
      </c>
      <c r="N78" s="5"/>
      <c r="O78" s="5"/>
      <c r="P78" s="5"/>
      <c r="Q78" s="6" t="s">
        <v>146</v>
      </c>
      <c r="R78" s="6" t="s">
        <v>146</v>
      </c>
      <c r="S78" s="7" t="s">
        <v>5</v>
      </c>
      <c r="T78" t="s">
        <v>19</v>
      </c>
      <c r="U78" t="s">
        <v>28</v>
      </c>
      <c r="V78" t="s">
        <v>29</v>
      </c>
      <c r="W78" t="s">
        <v>30</v>
      </c>
      <c r="X78" t="s">
        <v>132</v>
      </c>
      <c r="Y78" s="6" t="s">
        <v>426</v>
      </c>
      <c r="Z78" t="s">
        <v>133</v>
      </c>
      <c r="AA78" t="s">
        <v>257</v>
      </c>
      <c r="AB78">
        <v>4</v>
      </c>
      <c r="AC78" s="6" t="s">
        <v>258</v>
      </c>
    </row>
    <row r="79" spans="1:29" ht="70" customHeight="1" x14ac:dyDescent="0.35">
      <c r="A79" t="s">
        <v>259</v>
      </c>
      <c r="B79" t="s">
        <v>25</v>
      </c>
      <c r="C79" s="6" t="s">
        <v>26</v>
      </c>
      <c r="D79" s="5" t="s">
        <v>256</v>
      </c>
      <c r="E79" s="5" t="s">
        <v>27</v>
      </c>
      <c r="F79" s="5"/>
      <c r="G79" s="5"/>
      <c r="H79" s="5"/>
      <c r="I79" s="5"/>
      <c r="J79" s="5">
        <v>437500</v>
      </c>
      <c r="K79" s="5">
        <v>437500</v>
      </c>
      <c r="L79" s="5">
        <v>0</v>
      </c>
      <c r="M79" s="5">
        <v>0</v>
      </c>
      <c r="N79" s="5"/>
      <c r="O79" s="5"/>
      <c r="P79" s="5"/>
      <c r="Q79" s="6" t="s">
        <v>154</v>
      </c>
      <c r="R79" s="6" t="s">
        <v>154</v>
      </c>
      <c r="S79" s="7" t="s">
        <v>5</v>
      </c>
      <c r="T79" t="s">
        <v>19</v>
      </c>
      <c r="U79" t="s">
        <v>28</v>
      </c>
      <c r="V79" t="s">
        <v>29</v>
      </c>
      <c r="W79" t="s">
        <v>30</v>
      </c>
      <c r="X79" t="s">
        <v>132</v>
      </c>
      <c r="Y79" s="6" t="s">
        <v>427</v>
      </c>
      <c r="Z79" t="s">
        <v>133</v>
      </c>
      <c r="AA79" t="s">
        <v>257</v>
      </c>
      <c r="AB79">
        <v>4</v>
      </c>
      <c r="AC79" s="6" t="s">
        <v>260</v>
      </c>
    </row>
    <row r="80" spans="1:29" ht="70" customHeight="1" x14ac:dyDescent="0.35">
      <c r="A80" t="s">
        <v>261</v>
      </c>
      <c r="B80" t="s">
        <v>25</v>
      </c>
      <c r="C80" s="6" t="s">
        <v>26</v>
      </c>
      <c r="D80" s="5" t="s">
        <v>256</v>
      </c>
      <c r="E80" s="5" t="s">
        <v>27</v>
      </c>
      <c r="F80" s="5"/>
      <c r="G80" s="5"/>
      <c r="H80" s="5"/>
      <c r="I80" s="5"/>
      <c r="J80" s="5">
        <v>437500</v>
      </c>
      <c r="K80" s="5">
        <v>437500</v>
      </c>
      <c r="L80" s="5">
        <v>0</v>
      </c>
      <c r="M80" s="5">
        <v>1</v>
      </c>
      <c r="N80" s="5"/>
      <c r="O80" s="5"/>
      <c r="P80" s="5"/>
      <c r="Q80" s="6" t="s">
        <v>154</v>
      </c>
      <c r="R80" s="6" t="s">
        <v>154</v>
      </c>
      <c r="S80" s="7" t="s">
        <v>5</v>
      </c>
      <c r="T80" t="s">
        <v>19</v>
      </c>
      <c r="U80" t="s">
        <v>28</v>
      </c>
      <c r="V80" t="s">
        <v>29</v>
      </c>
      <c r="W80" t="s">
        <v>30</v>
      </c>
      <c r="X80" t="s">
        <v>132</v>
      </c>
      <c r="Y80" s="6" t="s">
        <v>428</v>
      </c>
      <c r="Z80" t="s">
        <v>133</v>
      </c>
      <c r="AA80" t="s">
        <v>257</v>
      </c>
      <c r="AB80">
        <v>4</v>
      </c>
      <c r="AC80" s="6" t="s">
        <v>262</v>
      </c>
    </row>
    <row r="81" spans="1:29" ht="70" customHeight="1" x14ac:dyDescent="0.35">
      <c r="A81" t="s">
        <v>263</v>
      </c>
      <c r="B81" t="s">
        <v>25</v>
      </c>
      <c r="C81" s="6" t="s">
        <v>26</v>
      </c>
      <c r="D81" s="5" t="s">
        <v>256</v>
      </c>
      <c r="E81" s="5" t="s">
        <v>139</v>
      </c>
      <c r="F81" s="5"/>
      <c r="G81" s="5"/>
      <c r="H81" s="5"/>
      <c r="I81" s="5"/>
      <c r="J81" s="5">
        <v>1000000</v>
      </c>
      <c r="K81" s="5">
        <v>1000000</v>
      </c>
      <c r="L81" s="5">
        <v>0</v>
      </c>
      <c r="M81" s="5">
        <v>0</v>
      </c>
      <c r="N81" s="5"/>
      <c r="O81" s="5"/>
      <c r="P81" s="5"/>
      <c r="Q81" s="6" t="s">
        <v>146</v>
      </c>
      <c r="R81" s="6" t="s">
        <v>146</v>
      </c>
      <c r="S81" s="7" t="s">
        <v>5</v>
      </c>
      <c r="T81" t="s">
        <v>19</v>
      </c>
      <c r="U81" t="s">
        <v>28</v>
      </c>
      <c r="V81" t="s">
        <v>29</v>
      </c>
      <c r="W81" t="s">
        <v>30</v>
      </c>
      <c r="X81" t="s">
        <v>132</v>
      </c>
      <c r="Y81" s="6" t="s">
        <v>429</v>
      </c>
      <c r="Z81" t="s">
        <v>133</v>
      </c>
      <c r="AA81" t="s">
        <v>264</v>
      </c>
      <c r="AB81">
        <v>5</v>
      </c>
      <c r="AC81" s="6" t="s">
        <v>265</v>
      </c>
    </row>
    <row r="82" spans="1:29" ht="70" customHeight="1" x14ac:dyDescent="0.35">
      <c r="A82" t="s">
        <v>266</v>
      </c>
      <c r="B82" t="s">
        <v>25</v>
      </c>
      <c r="C82" s="6" t="s">
        <v>26</v>
      </c>
      <c r="D82" s="5" t="s">
        <v>256</v>
      </c>
      <c r="E82" s="5" t="s">
        <v>139</v>
      </c>
      <c r="F82" s="5"/>
      <c r="G82" s="5"/>
      <c r="H82" s="5"/>
      <c r="I82" s="5"/>
      <c r="J82" s="5">
        <v>437500</v>
      </c>
      <c r="K82" s="5">
        <v>437500</v>
      </c>
      <c r="L82" s="5">
        <v>0</v>
      </c>
      <c r="M82" s="5">
        <v>0</v>
      </c>
      <c r="N82" s="5"/>
      <c r="O82" s="5"/>
      <c r="P82" s="5"/>
      <c r="Q82" s="6" t="s">
        <v>154</v>
      </c>
      <c r="R82" s="6" t="s">
        <v>154</v>
      </c>
      <c r="S82" s="7" t="s">
        <v>5</v>
      </c>
      <c r="T82" t="s">
        <v>19</v>
      </c>
      <c r="U82" t="s">
        <v>28</v>
      </c>
      <c r="V82" t="s">
        <v>29</v>
      </c>
      <c r="W82" t="s">
        <v>30</v>
      </c>
      <c r="X82" t="s">
        <v>132</v>
      </c>
      <c r="Y82" s="6" t="s">
        <v>430</v>
      </c>
      <c r="Z82" t="s">
        <v>133</v>
      </c>
      <c r="AA82" t="s">
        <v>264</v>
      </c>
      <c r="AB82">
        <v>5</v>
      </c>
      <c r="AC82" s="6" t="s">
        <v>267</v>
      </c>
    </row>
    <row r="83" spans="1:29" ht="70" customHeight="1" x14ac:dyDescent="0.35">
      <c r="A83" t="s">
        <v>268</v>
      </c>
      <c r="B83" t="s">
        <v>25</v>
      </c>
      <c r="C83" s="6" t="s">
        <v>26</v>
      </c>
      <c r="D83" s="5" t="s">
        <v>256</v>
      </c>
      <c r="E83" s="5" t="s">
        <v>139</v>
      </c>
      <c r="F83" s="5"/>
      <c r="G83" s="5"/>
      <c r="H83" s="5"/>
      <c r="I83" s="5"/>
      <c r="J83" s="5">
        <v>437500</v>
      </c>
      <c r="K83" s="5">
        <v>437500</v>
      </c>
      <c r="L83" s="5">
        <v>0</v>
      </c>
      <c r="M83" s="5">
        <v>1</v>
      </c>
      <c r="N83" s="5"/>
      <c r="O83" s="5"/>
      <c r="P83" s="5"/>
      <c r="Q83" s="6" t="s">
        <v>168</v>
      </c>
      <c r="R83" s="6" t="s">
        <v>168</v>
      </c>
      <c r="S83" s="7" t="s">
        <v>5</v>
      </c>
      <c r="T83" t="s">
        <v>19</v>
      </c>
      <c r="U83" t="s">
        <v>28</v>
      </c>
      <c r="V83" t="s">
        <v>29</v>
      </c>
      <c r="W83" t="s">
        <v>30</v>
      </c>
      <c r="X83" t="s">
        <v>132</v>
      </c>
      <c r="Y83" s="6" t="s">
        <v>431</v>
      </c>
      <c r="Z83" t="s">
        <v>133</v>
      </c>
      <c r="AA83" t="s">
        <v>264</v>
      </c>
      <c r="AB83">
        <v>5</v>
      </c>
      <c r="AC83" s="6" t="s">
        <v>269</v>
      </c>
    </row>
    <row r="84" spans="1:29" ht="70" customHeight="1" x14ac:dyDescent="0.35">
      <c r="A84" t="s">
        <v>270</v>
      </c>
      <c r="B84" t="s">
        <v>25</v>
      </c>
      <c r="C84" s="6" t="s">
        <v>26</v>
      </c>
      <c r="D84" s="5" t="s">
        <v>271</v>
      </c>
      <c r="E84" s="5" t="s">
        <v>27</v>
      </c>
      <c r="F84" s="5"/>
      <c r="G84" s="5"/>
      <c r="H84" s="5"/>
      <c r="I84" s="5"/>
      <c r="J84" s="5">
        <v>1000000</v>
      </c>
      <c r="K84" s="5">
        <v>1000000</v>
      </c>
      <c r="L84" s="5">
        <v>0</v>
      </c>
      <c r="M84" s="5">
        <v>0</v>
      </c>
      <c r="N84" s="5"/>
      <c r="O84" s="5"/>
      <c r="P84" s="5"/>
      <c r="Q84" s="6" t="s">
        <v>146</v>
      </c>
      <c r="R84" s="6" t="s">
        <v>146</v>
      </c>
      <c r="S84" s="7" t="s">
        <v>5</v>
      </c>
      <c r="T84" t="s">
        <v>19</v>
      </c>
      <c r="U84" t="s">
        <v>28</v>
      </c>
      <c r="V84" t="s">
        <v>29</v>
      </c>
      <c r="W84" t="s">
        <v>30</v>
      </c>
      <c r="X84" t="s">
        <v>132</v>
      </c>
      <c r="Y84" s="6" t="s">
        <v>432</v>
      </c>
      <c r="Z84" t="s">
        <v>133</v>
      </c>
      <c r="AA84" t="s">
        <v>257</v>
      </c>
      <c r="AB84">
        <v>4</v>
      </c>
      <c r="AC84" s="6" t="s">
        <v>272</v>
      </c>
    </row>
    <row r="85" spans="1:29" ht="70" customHeight="1" x14ac:dyDescent="0.35">
      <c r="A85" t="s">
        <v>273</v>
      </c>
      <c r="B85" t="s">
        <v>25</v>
      </c>
      <c r="C85" s="6" t="s">
        <v>26</v>
      </c>
      <c r="D85" s="5" t="s">
        <v>274</v>
      </c>
      <c r="E85" s="5" t="s">
        <v>27</v>
      </c>
      <c r="F85" s="5"/>
      <c r="G85" s="5"/>
      <c r="H85" s="5"/>
      <c r="I85" s="5"/>
      <c r="J85" s="5">
        <v>1000000</v>
      </c>
      <c r="K85" s="5">
        <v>1000000</v>
      </c>
      <c r="L85" s="5">
        <v>0</v>
      </c>
      <c r="M85" s="5">
        <v>0</v>
      </c>
      <c r="N85" s="5"/>
      <c r="O85" s="5"/>
      <c r="P85" s="5"/>
      <c r="Q85" s="6" t="s">
        <v>146</v>
      </c>
      <c r="R85" s="6" t="s">
        <v>146</v>
      </c>
      <c r="S85" s="7" t="s">
        <v>5</v>
      </c>
      <c r="T85" t="s">
        <v>19</v>
      </c>
      <c r="U85" t="s">
        <v>28</v>
      </c>
      <c r="V85" t="s">
        <v>29</v>
      </c>
      <c r="W85" t="s">
        <v>30</v>
      </c>
      <c r="X85" t="s">
        <v>132</v>
      </c>
      <c r="Y85" s="6" t="s">
        <v>433</v>
      </c>
      <c r="Z85" t="s">
        <v>133</v>
      </c>
      <c r="AA85" t="s">
        <v>257</v>
      </c>
      <c r="AB85">
        <v>4</v>
      </c>
      <c r="AC85" s="6" t="s">
        <v>275</v>
      </c>
    </row>
    <row r="86" spans="1:29" ht="70" customHeight="1" x14ac:dyDescent="0.35">
      <c r="A86" t="s">
        <v>276</v>
      </c>
      <c r="B86" t="s">
        <v>25</v>
      </c>
      <c r="C86" s="6" t="s">
        <v>26</v>
      </c>
      <c r="D86" s="5" t="s">
        <v>277</v>
      </c>
      <c r="E86" s="5" t="s">
        <v>27</v>
      </c>
      <c r="F86" s="5"/>
      <c r="G86" s="5"/>
      <c r="H86" s="5"/>
      <c r="I86" s="5"/>
      <c r="J86" s="5">
        <v>1000000</v>
      </c>
      <c r="K86" s="5">
        <v>1000000</v>
      </c>
      <c r="L86" s="5">
        <v>0</v>
      </c>
      <c r="M86" s="5">
        <v>0</v>
      </c>
      <c r="N86" s="5"/>
      <c r="O86" s="5"/>
      <c r="P86" s="5"/>
      <c r="Q86" s="6" t="s">
        <v>146</v>
      </c>
      <c r="R86" s="6" t="s">
        <v>146</v>
      </c>
      <c r="S86" s="7" t="s">
        <v>5</v>
      </c>
      <c r="T86" t="s">
        <v>19</v>
      </c>
      <c r="U86" t="s">
        <v>28</v>
      </c>
      <c r="V86" t="s">
        <v>29</v>
      </c>
      <c r="W86" t="s">
        <v>30</v>
      </c>
      <c r="X86" t="s">
        <v>132</v>
      </c>
      <c r="Y86" s="6" t="s">
        <v>434</v>
      </c>
      <c r="Z86" t="s">
        <v>133</v>
      </c>
      <c r="AA86" t="s">
        <v>257</v>
      </c>
      <c r="AB86">
        <v>4</v>
      </c>
      <c r="AC86" s="6" t="s">
        <v>278</v>
      </c>
    </row>
    <row r="87" spans="1:29" ht="70" customHeight="1" x14ac:dyDescent="0.35">
      <c r="A87" t="s">
        <v>279</v>
      </c>
      <c r="B87" t="s">
        <v>25</v>
      </c>
      <c r="C87" s="6" t="s">
        <v>26</v>
      </c>
      <c r="D87" s="5" t="s">
        <v>280</v>
      </c>
      <c r="E87" s="5" t="s">
        <v>27</v>
      </c>
      <c r="F87" s="5"/>
      <c r="G87" s="5"/>
      <c r="H87" s="5"/>
      <c r="I87" s="5"/>
      <c r="J87" s="5">
        <v>1000000</v>
      </c>
      <c r="K87" s="5">
        <v>1000000</v>
      </c>
      <c r="L87" s="5">
        <v>0</v>
      </c>
      <c r="M87" s="5">
        <v>0</v>
      </c>
      <c r="N87" s="5"/>
      <c r="O87" s="5"/>
      <c r="P87" s="5"/>
      <c r="Q87" s="6" t="s">
        <v>146</v>
      </c>
      <c r="R87" s="6" t="s">
        <v>146</v>
      </c>
      <c r="S87" s="7" t="s">
        <v>5</v>
      </c>
      <c r="T87" t="s">
        <v>19</v>
      </c>
      <c r="U87" t="s">
        <v>28</v>
      </c>
      <c r="V87" t="s">
        <v>29</v>
      </c>
      <c r="W87" t="s">
        <v>30</v>
      </c>
      <c r="X87" t="s">
        <v>132</v>
      </c>
      <c r="Y87" s="6" t="s">
        <v>435</v>
      </c>
      <c r="Z87" t="s">
        <v>133</v>
      </c>
      <c r="AA87" t="s">
        <v>281</v>
      </c>
      <c r="AB87">
        <v>6</v>
      </c>
      <c r="AC87" s="6" t="s">
        <v>282</v>
      </c>
    </row>
    <row r="88" spans="1:29" ht="70" customHeight="1" x14ac:dyDescent="0.35">
      <c r="A88" t="s">
        <v>283</v>
      </c>
      <c r="B88" t="s">
        <v>25</v>
      </c>
      <c r="C88" s="6" t="s">
        <v>26</v>
      </c>
      <c r="D88" s="5" t="s">
        <v>280</v>
      </c>
      <c r="E88" s="5" t="s">
        <v>27</v>
      </c>
      <c r="F88" s="5"/>
      <c r="G88" s="5"/>
      <c r="H88" s="5"/>
      <c r="I88" s="5"/>
      <c r="J88" s="5">
        <v>437500</v>
      </c>
      <c r="K88" s="5">
        <v>437500</v>
      </c>
      <c r="L88" s="5">
        <v>0</v>
      </c>
      <c r="M88" s="5">
        <v>0</v>
      </c>
      <c r="N88" s="5"/>
      <c r="O88" s="5"/>
      <c r="P88" s="5"/>
      <c r="Q88" s="6" t="s">
        <v>146</v>
      </c>
      <c r="R88" s="6" t="s">
        <v>146</v>
      </c>
      <c r="S88" s="7" t="s">
        <v>5</v>
      </c>
      <c r="T88" t="s">
        <v>19</v>
      </c>
      <c r="U88" t="s">
        <v>28</v>
      </c>
      <c r="V88" t="s">
        <v>29</v>
      </c>
      <c r="W88" t="s">
        <v>30</v>
      </c>
      <c r="X88" t="s">
        <v>132</v>
      </c>
      <c r="Y88" s="6" t="s">
        <v>436</v>
      </c>
      <c r="Z88" t="s">
        <v>133</v>
      </c>
      <c r="AA88" t="s">
        <v>281</v>
      </c>
      <c r="AB88">
        <v>6</v>
      </c>
      <c r="AC88" s="6" t="s">
        <v>284</v>
      </c>
    </row>
    <row r="89" spans="1:29" ht="70" customHeight="1" x14ac:dyDescent="0.35">
      <c r="A89" t="s">
        <v>285</v>
      </c>
      <c r="B89" t="s">
        <v>25</v>
      </c>
      <c r="C89" s="6" t="s">
        <v>26</v>
      </c>
      <c r="D89" s="5" t="s">
        <v>280</v>
      </c>
      <c r="E89" s="5" t="s">
        <v>139</v>
      </c>
      <c r="F89" s="5"/>
      <c r="G89" s="5"/>
      <c r="H89" s="5"/>
      <c r="I89" s="5"/>
      <c r="J89" s="5">
        <v>437500</v>
      </c>
      <c r="K89" s="5">
        <v>437500</v>
      </c>
      <c r="L89" s="5">
        <v>0</v>
      </c>
      <c r="M89" s="5">
        <v>0</v>
      </c>
      <c r="N89" s="5"/>
      <c r="O89" s="5"/>
      <c r="P89" s="5"/>
      <c r="Q89" s="6" t="s">
        <v>146</v>
      </c>
      <c r="R89" s="6" t="s">
        <v>146</v>
      </c>
      <c r="S89" s="7" t="s">
        <v>5</v>
      </c>
      <c r="T89" t="s">
        <v>19</v>
      </c>
      <c r="U89" t="s">
        <v>28</v>
      </c>
      <c r="V89" t="s">
        <v>29</v>
      </c>
      <c r="W89" t="s">
        <v>30</v>
      </c>
      <c r="X89" t="s">
        <v>132</v>
      </c>
      <c r="Y89" s="6" t="s">
        <v>437</v>
      </c>
      <c r="Z89" t="s">
        <v>133</v>
      </c>
      <c r="AA89" t="s">
        <v>281</v>
      </c>
      <c r="AB89">
        <v>6</v>
      </c>
      <c r="AC89" s="6" t="s">
        <v>286</v>
      </c>
    </row>
    <row r="90" spans="1:29" ht="70" customHeight="1" x14ac:dyDescent="0.35">
      <c r="A90" t="s">
        <v>287</v>
      </c>
      <c r="B90" t="s">
        <v>25</v>
      </c>
      <c r="C90" s="6" t="s">
        <v>26</v>
      </c>
      <c r="D90" s="5" t="s">
        <v>288</v>
      </c>
      <c r="E90" s="5" t="s">
        <v>27</v>
      </c>
      <c r="F90" s="5"/>
      <c r="G90" s="5"/>
      <c r="H90" s="5"/>
      <c r="I90" s="5"/>
      <c r="J90" s="5">
        <v>1000000</v>
      </c>
      <c r="K90" s="5">
        <v>1000000</v>
      </c>
      <c r="L90" s="5">
        <v>0</v>
      </c>
      <c r="M90" s="5">
        <v>0</v>
      </c>
      <c r="N90" s="5"/>
      <c r="O90" s="5"/>
      <c r="P90" s="5"/>
      <c r="Q90" s="6" t="s">
        <v>146</v>
      </c>
      <c r="R90" s="6" t="s">
        <v>146</v>
      </c>
      <c r="S90" s="7" t="s">
        <v>5</v>
      </c>
      <c r="T90" t="s">
        <v>19</v>
      </c>
      <c r="U90" t="s">
        <v>28</v>
      </c>
      <c r="V90" t="s">
        <v>29</v>
      </c>
      <c r="W90" t="s">
        <v>30</v>
      </c>
      <c r="X90" t="s">
        <v>132</v>
      </c>
      <c r="Y90" s="6" t="s">
        <v>438</v>
      </c>
      <c r="Z90" t="s">
        <v>133</v>
      </c>
      <c r="AA90" t="s">
        <v>281</v>
      </c>
      <c r="AB90">
        <v>6</v>
      </c>
      <c r="AC90" s="6" t="s">
        <v>289</v>
      </c>
    </row>
    <row r="91" spans="1:29" ht="70" customHeight="1" x14ac:dyDescent="0.35">
      <c r="A91" t="s">
        <v>290</v>
      </c>
      <c r="B91" t="s">
        <v>25</v>
      </c>
      <c r="C91" s="6" t="s">
        <v>26</v>
      </c>
      <c r="D91" s="5" t="s">
        <v>291</v>
      </c>
      <c r="E91" s="5" t="s">
        <v>27</v>
      </c>
      <c r="F91" s="5"/>
      <c r="G91" s="5"/>
      <c r="H91" s="5"/>
      <c r="I91" s="5"/>
      <c r="J91" s="5">
        <v>1000000</v>
      </c>
      <c r="K91" s="5">
        <v>1000000</v>
      </c>
      <c r="L91" s="5">
        <v>0</v>
      </c>
      <c r="M91" s="5">
        <v>0</v>
      </c>
      <c r="N91" s="5"/>
      <c r="O91" s="5"/>
      <c r="P91" s="5"/>
      <c r="Q91" s="6" t="s">
        <v>146</v>
      </c>
      <c r="R91" s="6" t="s">
        <v>146</v>
      </c>
      <c r="S91" s="7" t="s">
        <v>5</v>
      </c>
      <c r="T91" t="s">
        <v>19</v>
      </c>
      <c r="U91" t="s">
        <v>28</v>
      </c>
      <c r="V91" t="s">
        <v>29</v>
      </c>
      <c r="W91" t="s">
        <v>30</v>
      </c>
      <c r="X91" t="s">
        <v>132</v>
      </c>
      <c r="Y91" s="6" t="s">
        <v>439</v>
      </c>
      <c r="Z91" t="s">
        <v>133</v>
      </c>
      <c r="AA91" t="s">
        <v>281</v>
      </c>
      <c r="AB91">
        <v>6</v>
      </c>
      <c r="AC91" s="6" t="s">
        <v>292</v>
      </c>
    </row>
    <row r="92" spans="1:29" ht="70" customHeight="1" x14ac:dyDescent="0.35">
      <c r="A92" t="s">
        <v>293</v>
      </c>
      <c r="B92" t="s">
        <v>25</v>
      </c>
      <c r="C92" s="6" t="s">
        <v>26</v>
      </c>
      <c r="D92" s="5" t="s">
        <v>294</v>
      </c>
      <c r="E92" s="5" t="s">
        <v>27</v>
      </c>
      <c r="F92" s="5"/>
      <c r="G92" s="5"/>
      <c r="H92" s="5"/>
      <c r="I92" s="5"/>
      <c r="J92" s="5">
        <v>1000000</v>
      </c>
      <c r="K92" s="5">
        <v>1000000</v>
      </c>
      <c r="L92" s="5">
        <v>0</v>
      </c>
      <c r="M92" s="5">
        <v>0</v>
      </c>
      <c r="N92" s="5"/>
      <c r="O92" s="5"/>
      <c r="P92" s="5"/>
      <c r="Q92" s="6" t="s">
        <v>146</v>
      </c>
      <c r="R92" s="6" t="s">
        <v>146</v>
      </c>
      <c r="S92" s="7" t="s">
        <v>5</v>
      </c>
      <c r="T92" t="s">
        <v>19</v>
      </c>
      <c r="U92" t="s">
        <v>28</v>
      </c>
      <c r="V92" t="s">
        <v>29</v>
      </c>
      <c r="W92" t="s">
        <v>30</v>
      </c>
      <c r="X92" t="s">
        <v>132</v>
      </c>
      <c r="Y92" s="6" t="s">
        <v>440</v>
      </c>
      <c r="Z92" t="s">
        <v>133</v>
      </c>
      <c r="AA92" t="s">
        <v>281</v>
      </c>
      <c r="AB92">
        <v>6</v>
      </c>
      <c r="AC92" s="6" t="s">
        <v>295</v>
      </c>
    </row>
    <row r="93" spans="1:29" ht="70" customHeight="1" x14ac:dyDescent="0.35">
      <c r="A93" t="s">
        <v>296</v>
      </c>
      <c r="B93" t="s">
        <v>25</v>
      </c>
      <c r="C93" s="6" t="s">
        <v>26</v>
      </c>
      <c r="D93" s="5" t="s">
        <v>297</v>
      </c>
      <c r="E93" s="5" t="s">
        <v>27</v>
      </c>
      <c r="F93" s="5"/>
      <c r="G93" s="5"/>
      <c r="H93" s="5"/>
      <c r="I93" s="5"/>
      <c r="J93" s="5">
        <v>1000000</v>
      </c>
      <c r="K93" s="5">
        <v>1000000</v>
      </c>
      <c r="L93" s="5">
        <v>0</v>
      </c>
      <c r="M93" s="5">
        <v>0</v>
      </c>
      <c r="N93" s="5"/>
      <c r="O93" s="5"/>
      <c r="P93" s="5"/>
      <c r="Q93" s="6" t="s">
        <v>31</v>
      </c>
      <c r="R93" s="6" t="s">
        <v>31</v>
      </c>
      <c r="S93" s="7" t="s">
        <v>5</v>
      </c>
      <c r="T93" t="s">
        <v>19</v>
      </c>
      <c r="U93" t="s">
        <v>28</v>
      </c>
      <c r="V93" t="s">
        <v>29</v>
      </c>
      <c r="W93" t="s">
        <v>30</v>
      </c>
      <c r="X93" t="s">
        <v>132</v>
      </c>
      <c r="Y93" s="6" t="s">
        <v>441</v>
      </c>
      <c r="Z93" t="s">
        <v>133</v>
      </c>
      <c r="AA93" t="s">
        <v>134</v>
      </c>
      <c r="AB93">
        <v>7</v>
      </c>
      <c r="AC93" s="6" t="s">
        <v>298</v>
      </c>
    </row>
    <row r="94" spans="1:29" ht="70" customHeight="1" x14ac:dyDescent="0.35">
      <c r="A94" t="s">
        <v>299</v>
      </c>
      <c r="B94" t="s">
        <v>25</v>
      </c>
      <c r="C94" s="6" t="s">
        <v>26</v>
      </c>
      <c r="D94" s="5" t="s">
        <v>297</v>
      </c>
      <c r="E94" s="5" t="s">
        <v>27</v>
      </c>
      <c r="F94" s="5"/>
      <c r="G94" s="5"/>
      <c r="H94" s="5"/>
      <c r="I94" s="5"/>
      <c r="J94" s="5">
        <v>437500</v>
      </c>
      <c r="K94" s="5">
        <v>437500</v>
      </c>
      <c r="L94" s="5">
        <v>0</v>
      </c>
      <c r="M94" s="5">
        <v>0</v>
      </c>
      <c r="N94" s="5"/>
      <c r="O94" s="5"/>
      <c r="P94" s="5"/>
      <c r="Q94" s="6" t="s">
        <v>31</v>
      </c>
      <c r="R94" s="6" t="s">
        <v>31</v>
      </c>
      <c r="S94" s="7" t="s">
        <v>5</v>
      </c>
      <c r="T94" t="s">
        <v>19</v>
      </c>
      <c r="U94" t="s">
        <v>28</v>
      </c>
      <c r="V94" t="s">
        <v>29</v>
      </c>
      <c r="W94" t="s">
        <v>30</v>
      </c>
      <c r="X94" t="s">
        <v>132</v>
      </c>
      <c r="Y94" s="6" t="s">
        <v>442</v>
      </c>
      <c r="Z94" t="s">
        <v>133</v>
      </c>
      <c r="AA94" t="s">
        <v>134</v>
      </c>
      <c r="AB94">
        <v>7</v>
      </c>
      <c r="AC94" s="6" t="s">
        <v>300</v>
      </c>
    </row>
    <row r="95" spans="1:29" ht="70" customHeight="1" x14ac:dyDescent="0.35">
      <c r="A95" t="s">
        <v>301</v>
      </c>
      <c r="B95" t="s">
        <v>25</v>
      </c>
      <c r="C95" s="6" t="s">
        <v>26</v>
      </c>
      <c r="D95" s="5" t="s">
        <v>302</v>
      </c>
      <c r="E95" s="5" t="s">
        <v>27</v>
      </c>
      <c r="F95" s="5"/>
      <c r="G95" s="5"/>
      <c r="H95" s="5"/>
      <c r="I95" s="5"/>
      <c r="J95" s="5">
        <v>1000000</v>
      </c>
      <c r="K95" s="5">
        <v>1000000</v>
      </c>
      <c r="L95" s="5">
        <v>0</v>
      </c>
      <c r="M95" s="5">
        <v>0</v>
      </c>
      <c r="N95" s="5"/>
      <c r="O95" s="5"/>
      <c r="P95" s="5"/>
      <c r="Q95" s="6" t="s">
        <v>31</v>
      </c>
      <c r="R95" s="6" t="s">
        <v>31</v>
      </c>
      <c r="S95" s="7" t="s">
        <v>5</v>
      </c>
      <c r="T95" t="s">
        <v>19</v>
      </c>
      <c r="U95" t="s">
        <v>28</v>
      </c>
      <c r="V95" t="s">
        <v>29</v>
      </c>
      <c r="W95" t="s">
        <v>30</v>
      </c>
      <c r="X95" t="s">
        <v>132</v>
      </c>
      <c r="Y95" s="6" t="s">
        <v>443</v>
      </c>
      <c r="Z95" t="s">
        <v>133</v>
      </c>
      <c r="AA95" t="s">
        <v>134</v>
      </c>
      <c r="AB95">
        <v>7</v>
      </c>
      <c r="AC95" s="6" t="s">
        <v>303</v>
      </c>
    </row>
    <row r="96" spans="1:29" ht="70" customHeight="1" x14ac:dyDescent="0.35">
      <c r="A96" t="s">
        <v>304</v>
      </c>
      <c r="B96" t="s">
        <v>25</v>
      </c>
      <c r="C96" s="6" t="s">
        <v>305</v>
      </c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 t="s">
        <v>306</v>
      </c>
      <c r="R96" s="6" t="s">
        <v>306</v>
      </c>
      <c r="S96" s="7" t="s">
        <v>5</v>
      </c>
      <c r="T96" t="s">
        <v>19</v>
      </c>
      <c r="U96" t="s">
        <v>28</v>
      </c>
      <c r="V96" t="s">
        <v>29</v>
      </c>
      <c r="W96" t="s">
        <v>307</v>
      </c>
      <c r="Y96" s="6" t="s">
        <v>444</v>
      </c>
      <c r="Z96" t="s">
        <v>308</v>
      </c>
      <c r="AA96" t="s">
        <v>309</v>
      </c>
      <c r="AB96">
        <v>1</v>
      </c>
      <c r="AC96" s="6" t="s">
        <v>310</v>
      </c>
    </row>
    <row r="97" spans="1:29" ht="70" customHeight="1" x14ac:dyDescent="0.35">
      <c r="A97" t="s">
        <v>311</v>
      </c>
      <c r="B97" t="s">
        <v>25</v>
      </c>
      <c r="C97" s="6" t="s">
        <v>32</v>
      </c>
      <c r="D97" s="5" t="s">
        <v>131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 t="s">
        <v>312</v>
      </c>
      <c r="R97" s="6" t="s">
        <v>446</v>
      </c>
      <c r="S97" s="8" t="s">
        <v>6</v>
      </c>
      <c r="T97" t="s">
        <v>19</v>
      </c>
      <c r="U97" t="s">
        <v>28</v>
      </c>
      <c r="V97" t="s">
        <v>29</v>
      </c>
      <c r="W97" t="s">
        <v>34</v>
      </c>
      <c r="X97" t="s">
        <v>35</v>
      </c>
      <c r="Y97" s="6" t="s">
        <v>445</v>
      </c>
      <c r="Z97" t="s">
        <v>313</v>
      </c>
      <c r="AC97" s="6" t="s">
        <v>314</v>
      </c>
    </row>
    <row r="98" spans="1:29" ht="70" customHeight="1" x14ac:dyDescent="0.35">
      <c r="A98" t="s">
        <v>315</v>
      </c>
      <c r="B98" t="s">
        <v>25</v>
      </c>
      <c r="C98" s="6" t="s">
        <v>32</v>
      </c>
      <c r="D98" s="5" t="s">
        <v>316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 t="s">
        <v>33</v>
      </c>
      <c r="R98" s="6" t="s">
        <v>33</v>
      </c>
      <c r="S98" s="7" t="s">
        <v>5</v>
      </c>
      <c r="T98" t="s">
        <v>19</v>
      </c>
      <c r="U98" t="s">
        <v>28</v>
      </c>
      <c r="V98" t="s">
        <v>29</v>
      </c>
      <c r="W98" t="s">
        <v>34</v>
      </c>
      <c r="X98" t="s">
        <v>35</v>
      </c>
      <c r="Y98" s="6" t="s">
        <v>447</v>
      </c>
      <c r="Z98" t="s">
        <v>313</v>
      </c>
      <c r="AA98" t="s">
        <v>317</v>
      </c>
      <c r="AB98">
        <v>1</v>
      </c>
      <c r="AC98" s="6" t="s">
        <v>318</v>
      </c>
    </row>
    <row r="99" spans="1:29" ht="70" customHeight="1" x14ac:dyDescent="0.35">
      <c r="A99" t="s">
        <v>319</v>
      </c>
      <c r="B99" t="s">
        <v>25</v>
      </c>
      <c r="C99" s="6" t="s">
        <v>32</v>
      </c>
      <c r="D99" s="5" t="s">
        <v>251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 t="s">
        <v>33</v>
      </c>
      <c r="R99" s="6" t="s">
        <v>33</v>
      </c>
      <c r="S99" s="7" t="s">
        <v>5</v>
      </c>
      <c r="T99" t="s">
        <v>19</v>
      </c>
      <c r="U99" t="s">
        <v>28</v>
      </c>
      <c r="V99" t="s">
        <v>29</v>
      </c>
      <c r="W99" t="s">
        <v>34</v>
      </c>
      <c r="X99" t="s">
        <v>35</v>
      </c>
      <c r="Y99" s="6" t="s">
        <v>448</v>
      </c>
      <c r="Z99" t="s">
        <v>313</v>
      </c>
      <c r="AA99" t="s">
        <v>317</v>
      </c>
      <c r="AB99">
        <v>1</v>
      </c>
      <c r="AC99" s="6" t="s">
        <v>252</v>
      </c>
    </row>
    <row r="100" spans="1:29" ht="70" customHeight="1" x14ac:dyDescent="0.35">
      <c r="A100" t="s">
        <v>320</v>
      </c>
      <c r="B100" t="s">
        <v>25</v>
      </c>
      <c r="C100" s="6" t="s">
        <v>32</v>
      </c>
      <c r="D100" s="5" t="s">
        <v>256</v>
      </c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 t="s">
        <v>33</v>
      </c>
      <c r="R100" s="6" t="s">
        <v>33</v>
      </c>
      <c r="S100" s="7" t="s">
        <v>5</v>
      </c>
      <c r="T100" t="s">
        <v>19</v>
      </c>
      <c r="U100" t="s">
        <v>28</v>
      </c>
      <c r="V100" t="s">
        <v>29</v>
      </c>
      <c r="W100" t="s">
        <v>34</v>
      </c>
      <c r="X100" t="s">
        <v>35</v>
      </c>
      <c r="Y100" s="6" t="s">
        <v>449</v>
      </c>
      <c r="Z100" t="s">
        <v>313</v>
      </c>
      <c r="AA100" t="s">
        <v>321</v>
      </c>
      <c r="AB100">
        <v>2</v>
      </c>
      <c r="AC100" s="6" t="s">
        <v>322</v>
      </c>
    </row>
    <row r="101" spans="1:29" ht="70" customHeight="1" x14ac:dyDescent="0.35">
      <c r="A101" t="s">
        <v>323</v>
      </c>
      <c r="B101" t="s">
        <v>25</v>
      </c>
      <c r="C101" s="6" t="s">
        <v>32</v>
      </c>
      <c r="D101" s="5" t="s">
        <v>294</v>
      </c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 t="s">
        <v>33</v>
      </c>
      <c r="R101" s="6" t="s">
        <v>33</v>
      </c>
      <c r="S101" s="7" t="s">
        <v>5</v>
      </c>
      <c r="T101" t="s">
        <v>19</v>
      </c>
      <c r="U101" t="s">
        <v>28</v>
      </c>
      <c r="V101" t="s">
        <v>29</v>
      </c>
      <c r="W101" t="s">
        <v>34</v>
      </c>
      <c r="X101" t="s">
        <v>35</v>
      </c>
      <c r="Y101" s="6" t="s">
        <v>450</v>
      </c>
      <c r="Z101" t="s">
        <v>313</v>
      </c>
      <c r="AA101" t="s">
        <v>321</v>
      </c>
      <c r="AB101">
        <v>2</v>
      </c>
      <c r="AC101" s="6" t="s">
        <v>324</v>
      </c>
    </row>
    <row r="102" spans="1:29" ht="70" customHeight="1" x14ac:dyDescent="0.35">
      <c r="A102" t="s">
        <v>325</v>
      </c>
      <c r="B102" t="s">
        <v>25</v>
      </c>
      <c r="C102" s="6" t="s">
        <v>32</v>
      </c>
      <c r="D102" s="5" t="s">
        <v>297</v>
      </c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 t="s">
        <v>312</v>
      </c>
      <c r="R102" s="6" t="s">
        <v>446</v>
      </c>
      <c r="S102" s="8" t="s">
        <v>6</v>
      </c>
      <c r="T102" t="s">
        <v>19</v>
      </c>
      <c r="U102" t="s">
        <v>28</v>
      </c>
      <c r="V102" t="s">
        <v>29</v>
      </c>
      <c r="W102" t="s">
        <v>34</v>
      </c>
      <c r="X102" t="s">
        <v>35</v>
      </c>
      <c r="Y102" s="6" t="s">
        <v>451</v>
      </c>
      <c r="Z102" t="s">
        <v>313</v>
      </c>
      <c r="AC102" s="6" t="s">
        <v>298</v>
      </c>
    </row>
  </sheetData>
  <autoFilter ref="A4:AC102" xr:uid="{00000000-0009-0000-0000-000001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</xdr:row>
                    <xdr:rowOff>63500</xdr:rowOff>
                  </from>
                  <to>
                    <xdr:col>20</xdr:col>
                    <xdr:colOff>6350</xdr:colOff>
                    <xdr:row>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</xdr:row>
                    <xdr:rowOff>63500</xdr:rowOff>
                  </from>
                  <to>
                    <xdr:col>20</xdr:col>
                    <xdr:colOff>6350</xdr:colOff>
                    <xdr:row>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</xdr:row>
                    <xdr:rowOff>63500</xdr:rowOff>
                  </from>
                  <to>
                    <xdr:col>20</xdr:col>
                    <xdr:colOff>6350</xdr:colOff>
                    <xdr:row>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</xdr:row>
                    <xdr:rowOff>63500</xdr:rowOff>
                  </from>
                  <to>
                    <xdr:col>20</xdr:col>
                    <xdr:colOff>6350</xdr:colOff>
                    <xdr:row>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</xdr:row>
                    <xdr:rowOff>63500</xdr:rowOff>
                  </from>
                  <to>
                    <xdr:col>20</xdr:col>
                    <xdr:colOff>6350</xdr:colOff>
                    <xdr:row>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</xdr:row>
                    <xdr:rowOff>63500</xdr:rowOff>
                  </from>
                  <to>
                    <xdr:col>20</xdr:col>
                    <xdr:colOff>6350</xdr:colOff>
                    <xdr:row>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10</xdr:row>
                    <xdr:rowOff>63500</xdr:rowOff>
                  </from>
                  <to>
                    <xdr:col>20</xdr:col>
                    <xdr:colOff>6350</xdr:colOff>
                    <xdr:row>10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11</xdr:row>
                    <xdr:rowOff>63500</xdr:rowOff>
                  </from>
                  <to>
                    <xdr:col>20</xdr:col>
                    <xdr:colOff>6350</xdr:colOff>
                    <xdr:row>11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12</xdr:row>
                    <xdr:rowOff>63500</xdr:rowOff>
                  </from>
                  <to>
                    <xdr:col>20</xdr:col>
                    <xdr:colOff>6350</xdr:colOff>
                    <xdr:row>12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13</xdr:row>
                    <xdr:rowOff>63500</xdr:rowOff>
                  </from>
                  <to>
                    <xdr:col>20</xdr:col>
                    <xdr:colOff>6350</xdr:colOff>
                    <xdr:row>13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14</xdr:row>
                    <xdr:rowOff>63500</xdr:rowOff>
                  </from>
                  <to>
                    <xdr:col>20</xdr:col>
                    <xdr:colOff>6350</xdr:colOff>
                    <xdr:row>14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Button 1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15</xdr:row>
                    <xdr:rowOff>63500</xdr:rowOff>
                  </from>
                  <to>
                    <xdr:col>20</xdr:col>
                    <xdr:colOff>6350</xdr:colOff>
                    <xdr:row>15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Button 1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16</xdr:row>
                    <xdr:rowOff>63500</xdr:rowOff>
                  </from>
                  <to>
                    <xdr:col>20</xdr:col>
                    <xdr:colOff>6350</xdr:colOff>
                    <xdr:row>16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Button 1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17</xdr:row>
                    <xdr:rowOff>63500</xdr:rowOff>
                  </from>
                  <to>
                    <xdr:col>20</xdr:col>
                    <xdr:colOff>6350</xdr:colOff>
                    <xdr:row>17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7" name="Button 1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18</xdr:row>
                    <xdr:rowOff>63500</xdr:rowOff>
                  </from>
                  <to>
                    <xdr:col>20</xdr:col>
                    <xdr:colOff>6350</xdr:colOff>
                    <xdr:row>18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8" name="Button 1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19</xdr:row>
                    <xdr:rowOff>63500</xdr:rowOff>
                  </from>
                  <to>
                    <xdr:col>20</xdr:col>
                    <xdr:colOff>6350</xdr:colOff>
                    <xdr:row>19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9" name="Button 1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20</xdr:row>
                    <xdr:rowOff>63500</xdr:rowOff>
                  </from>
                  <to>
                    <xdr:col>20</xdr:col>
                    <xdr:colOff>6350</xdr:colOff>
                    <xdr:row>20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0" name="Button 1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21</xdr:row>
                    <xdr:rowOff>63500</xdr:rowOff>
                  </from>
                  <to>
                    <xdr:col>20</xdr:col>
                    <xdr:colOff>6350</xdr:colOff>
                    <xdr:row>21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1" name="Button 1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22</xdr:row>
                    <xdr:rowOff>63500</xdr:rowOff>
                  </from>
                  <to>
                    <xdr:col>20</xdr:col>
                    <xdr:colOff>6350</xdr:colOff>
                    <xdr:row>22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2" name="Button 2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23</xdr:row>
                    <xdr:rowOff>63500</xdr:rowOff>
                  </from>
                  <to>
                    <xdr:col>20</xdr:col>
                    <xdr:colOff>6350</xdr:colOff>
                    <xdr:row>23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3" name="Button 2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24</xdr:row>
                    <xdr:rowOff>63500</xdr:rowOff>
                  </from>
                  <to>
                    <xdr:col>20</xdr:col>
                    <xdr:colOff>6350</xdr:colOff>
                    <xdr:row>24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4" name="Button 2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25</xdr:row>
                    <xdr:rowOff>63500</xdr:rowOff>
                  </from>
                  <to>
                    <xdr:col>20</xdr:col>
                    <xdr:colOff>6350</xdr:colOff>
                    <xdr:row>25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5" name="Button 2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26</xdr:row>
                    <xdr:rowOff>63500</xdr:rowOff>
                  </from>
                  <to>
                    <xdr:col>20</xdr:col>
                    <xdr:colOff>6350</xdr:colOff>
                    <xdr:row>26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6" name="Button 2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27</xdr:row>
                    <xdr:rowOff>63500</xdr:rowOff>
                  </from>
                  <to>
                    <xdr:col>20</xdr:col>
                    <xdr:colOff>6350</xdr:colOff>
                    <xdr:row>27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7" name="Button 2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28</xdr:row>
                    <xdr:rowOff>63500</xdr:rowOff>
                  </from>
                  <to>
                    <xdr:col>20</xdr:col>
                    <xdr:colOff>6350</xdr:colOff>
                    <xdr:row>28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8" name="Button 2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29</xdr:row>
                    <xdr:rowOff>63500</xdr:rowOff>
                  </from>
                  <to>
                    <xdr:col>20</xdr:col>
                    <xdr:colOff>6350</xdr:colOff>
                    <xdr:row>29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9" name="Button 2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30</xdr:row>
                    <xdr:rowOff>63500</xdr:rowOff>
                  </from>
                  <to>
                    <xdr:col>20</xdr:col>
                    <xdr:colOff>6350</xdr:colOff>
                    <xdr:row>30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0" name="Button 2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31</xdr:row>
                    <xdr:rowOff>63500</xdr:rowOff>
                  </from>
                  <to>
                    <xdr:col>20</xdr:col>
                    <xdr:colOff>6350</xdr:colOff>
                    <xdr:row>31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1" name="Button 2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32</xdr:row>
                    <xdr:rowOff>63500</xdr:rowOff>
                  </from>
                  <to>
                    <xdr:col>20</xdr:col>
                    <xdr:colOff>6350</xdr:colOff>
                    <xdr:row>32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2" name="Button 3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33</xdr:row>
                    <xdr:rowOff>63500</xdr:rowOff>
                  </from>
                  <to>
                    <xdr:col>20</xdr:col>
                    <xdr:colOff>6350</xdr:colOff>
                    <xdr:row>33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3" name="Button 3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34</xdr:row>
                    <xdr:rowOff>63500</xdr:rowOff>
                  </from>
                  <to>
                    <xdr:col>20</xdr:col>
                    <xdr:colOff>6350</xdr:colOff>
                    <xdr:row>34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4" name="Button 3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35</xdr:row>
                    <xdr:rowOff>63500</xdr:rowOff>
                  </from>
                  <to>
                    <xdr:col>20</xdr:col>
                    <xdr:colOff>6350</xdr:colOff>
                    <xdr:row>35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5" name="Button 3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36</xdr:row>
                    <xdr:rowOff>63500</xdr:rowOff>
                  </from>
                  <to>
                    <xdr:col>20</xdr:col>
                    <xdr:colOff>6350</xdr:colOff>
                    <xdr:row>36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6" name="Button 3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37</xdr:row>
                    <xdr:rowOff>63500</xdr:rowOff>
                  </from>
                  <to>
                    <xdr:col>20</xdr:col>
                    <xdr:colOff>6350</xdr:colOff>
                    <xdr:row>37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7" name="Button 3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38</xdr:row>
                    <xdr:rowOff>63500</xdr:rowOff>
                  </from>
                  <to>
                    <xdr:col>20</xdr:col>
                    <xdr:colOff>6350</xdr:colOff>
                    <xdr:row>38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8" name="Button 3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39</xdr:row>
                    <xdr:rowOff>63500</xdr:rowOff>
                  </from>
                  <to>
                    <xdr:col>20</xdr:col>
                    <xdr:colOff>6350</xdr:colOff>
                    <xdr:row>39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39" name="Button 3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40</xdr:row>
                    <xdr:rowOff>63500</xdr:rowOff>
                  </from>
                  <to>
                    <xdr:col>20</xdr:col>
                    <xdr:colOff>6350</xdr:colOff>
                    <xdr:row>40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0" name="Button 3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41</xdr:row>
                    <xdr:rowOff>63500</xdr:rowOff>
                  </from>
                  <to>
                    <xdr:col>20</xdr:col>
                    <xdr:colOff>6350</xdr:colOff>
                    <xdr:row>41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1" name="Button 3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42</xdr:row>
                    <xdr:rowOff>63500</xdr:rowOff>
                  </from>
                  <to>
                    <xdr:col>20</xdr:col>
                    <xdr:colOff>6350</xdr:colOff>
                    <xdr:row>42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2" name="Button 4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43</xdr:row>
                    <xdr:rowOff>63500</xdr:rowOff>
                  </from>
                  <to>
                    <xdr:col>20</xdr:col>
                    <xdr:colOff>6350</xdr:colOff>
                    <xdr:row>43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3" name="Button 4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44</xdr:row>
                    <xdr:rowOff>63500</xdr:rowOff>
                  </from>
                  <to>
                    <xdr:col>20</xdr:col>
                    <xdr:colOff>6350</xdr:colOff>
                    <xdr:row>44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4" name="Button 4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45</xdr:row>
                    <xdr:rowOff>63500</xdr:rowOff>
                  </from>
                  <to>
                    <xdr:col>20</xdr:col>
                    <xdr:colOff>6350</xdr:colOff>
                    <xdr:row>45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5" name="Button 4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46</xdr:row>
                    <xdr:rowOff>63500</xdr:rowOff>
                  </from>
                  <to>
                    <xdr:col>20</xdr:col>
                    <xdr:colOff>6350</xdr:colOff>
                    <xdr:row>46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6" name="Button 4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47</xdr:row>
                    <xdr:rowOff>63500</xdr:rowOff>
                  </from>
                  <to>
                    <xdr:col>20</xdr:col>
                    <xdr:colOff>6350</xdr:colOff>
                    <xdr:row>47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7" name="Button 4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48</xdr:row>
                    <xdr:rowOff>63500</xdr:rowOff>
                  </from>
                  <to>
                    <xdr:col>20</xdr:col>
                    <xdr:colOff>6350</xdr:colOff>
                    <xdr:row>48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8" name="Button 4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49</xdr:row>
                    <xdr:rowOff>63500</xdr:rowOff>
                  </from>
                  <to>
                    <xdr:col>20</xdr:col>
                    <xdr:colOff>6350</xdr:colOff>
                    <xdr:row>49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49" name="Button 4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50</xdr:row>
                    <xdr:rowOff>63500</xdr:rowOff>
                  </from>
                  <to>
                    <xdr:col>20</xdr:col>
                    <xdr:colOff>6350</xdr:colOff>
                    <xdr:row>50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0" name="Button 4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51</xdr:row>
                    <xdr:rowOff>63500</xdr:rowOff>
                  </from>
                  <to>
                    <xdr:col>20</xdr:col>
                    <xdr:colOff>6350</xdr:colOff>
                    <xdr:row>51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1" name="Button 4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52</xdr:row>
                    <xdr:rowOff>63500</xdr:rowOff>
                  </from>
                  <to>
                    <xdr:col>20</xdr:col>
                    <xdr:colOff>6350</xdr:colOff>
                    <xdr:row>52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2" name="Button 5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53</xdr:row>
                    <xdr:rowOff>63500</xdr:rowOff>
                  </from>
                  <to>
                    <xdr:col>20</xdr:col>
                    <xdr:colOff>6350</xdr:colOff>
                    <xdr:row>53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3" name="Button 5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54</xdr:row>
                    <xdr:rowOff>63500</xdr:rowOff>
                  </from>
                  <to>
                    <xdr:col>20</xdr:col>
                    <xdr:colOff>6350</xdr:colOff>
                    <xdr:row>54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4" name="Button 5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55</xdr:row>
                    <xdr:rowOff>63500</xdr:rowOff>
                  </from>
                  <to>
                    <xdr:col>20</xdr:col>
                    <xdr:colOff>6350</xdr:colOff>
                    <xdr:row>55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5" name="Button 5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56</xdr:row>
                    <xdr:rowOff>63500</xdr:rowOff>
                  </from>
                  <to>
                    <xdr:col>20</xdr:col>
                    <xdr:colOff>6350</xdr:colOff>
                    <xdr:row>56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6" name="Button 5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57</xdr:row>
                    <xdr:rowOff>63500</xdr:rowOff>
                  </from>
                  <to>
                    <xdr:col>20</xdr:col>
                    <xdr:colOff>6350</xdr:colOff>
                    <xdr:row>57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7" name="Button 5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58</xdr:row>
                    <xdr:rowOff>63500</xdr:rowOff>
                  </from>
                  <to>
                    <xdr:col>20</xdr:col>
                    <xdr:colOff>6350</xdr:colOff>
                    <xdr:row>58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8" name="Button 5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59</xdr:row>
                    <xdr:rowOff>63500</xdr:rowOff>
                  </from>
                  <to>
                    <xdr:col>20</xdr:col>
                    <xdr:colOff>6350</xdr:colOff>
                    <xdr:row>59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59" name="Button 5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60</xdr:row>
                    <xdr:rowOff>63500</xdr:rowOff>
                  </from>
                  <to>
                    <xdr:col>20</xdr:col>
                    <xdr:colOff>6350</xdr:colOff>
                    <xdr:row>60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0" name="Button 5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61</xdr:row>
                    <xdr:rowOff>63500</xdr:rowOff>
                  </from>
                  <to>
                    <xdr:col>20</xdr:col>
                    <xdr:colOff>6350</xdr:colOff>
                    <xdr:row>61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1" name="Button 5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62</xdr:row>
                    <xdr:rowOff>63500</xdr:rowOff>
                  </from>
                  <to>
                    <xdr:col>20</xdr:col>
                    <xdr:colOff>6350</xdr:colOff>
                    <xdr:row>62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2" name="Button 6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63</xdr:row>
                    <xdr:rowOff>63500</xdr:rowOff>
                  </from>
                  <to>
                    <xdr:col>20</xdr:col>
                    <xdr:colOff>6350</xdr:colOff>
                    <xdr:row>63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3" name="Button 6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64</xdr:row>
                    <xdr:rowOff>63500</xdr:rowOff>
                  </from>
                  <to>
                    <xdr:col>20</xdr:col>
                    <xdr:colOff>6350</xdr:colOff>
                    <xdr:row>64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4" name="Button 6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65</xdr:row>
                    <xdr:rowOff>63500</xdr:rowOff>
                  </from>
                  <to>
                    <xdr:col>20</xdr:col>
                    <xdr:colOff>6350</xdr:colOff>
                    <xdr:row>65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5" name="Button 6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66</xdr:row>
                    <xdr:rowOff>63500</xdr:rowOff>
                  </from>
                  <to>
                    <xdr:col>20</xdr:col>
                    <xdr:colOff>6350</xdr:colOff>
                    <xdr:row>66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6" name="Button 6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67</xdr:row>
                    <xdr:rowOff>63500</xdr:rowOff>
                  </from>
                  <to>
                    <xdr:col>20</xdr:col>
                    <xdr:colOff>6350</xdr:colOff>
                    <xdr:row>67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7" name="Button 6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68</xdr:row>
                    <xdr:rowOff>63500</xdr:rowOff>
                  </from>
                  <to>
                    <xdr:col>20</xdr:col>
                    <xdr:colOff>6350</xdr:colOff>
                    <xdr:row>68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8" name="Button 6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69</xdr:row>
                    <xdr:rowOff>63500</xdr:rowOff>
                  </from>
                  <to>
                    <xdr:col>20</xdr:col>
                    <xdr:colOff>6350</xdr:colOff>
                    <xdr:row>69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69" name="Button 6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70</xdr:row>
                    <xdr:rowOff>63500</xdr:rowOff>
                  </from>
                  <to>
                    <xdr:col>20</xdr:col>
                    <xdr:colOff>6350</xdr:colOff>
                    <xdr:row>70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0" name="Button 6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71</xdr:row>
                    <xdr:rowOff>63500</xdr:rowOff>
                  </from>
                  <to>
                    <xdr:col>20</xdr:col>
                    <xdr:colOff>6350</xdr:colOff>
                    <xdr:row>71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1" name="Button 6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72</xdr:row>
                    <xdr:rowOff>63500</xdr:rowOff>
                  </from>
                  <to>
                    <xdr:col>20</xdr:col>
                    <xdr:colOff>6350</xdr:colOff>
                    <xdr:row>72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2" name="Button 7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73</xdr:row>
                    <xdr:rowOff>63500</xdr:rowOff>
                  </from>
                  <to>
                    <xdr:col>20</xdr:col>
                    <xdr:colOff>6350</xdr:colOff>
                    <xdr:row>73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3" name="Button 7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74</xdr:row>
                    <xdr:rowOff>63500</xdr:rowOff>
                  </from>
                  <to>
                    <xdr:col>20</xdr:col>
                    <xdr:colOff>6350</xdr:colOff>
                    <xdr:row>74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4" name="Button 7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75</xdr:row>
                    <xdr:rowOff>63500</xdr:rowOff>
                  </from>
                  <to>
                    <xdr:col>20</xdr:col>
                    <xdr:colOff>6350</xdr:colOff>
                    <xdr:row>75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5" name="Button 7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76</xdr:row>
                    <xdr:rowOff>63500</xdr:rowOff>
                  </from>
                  <to>
                    <xdr:col>20</xdr:col>
                    <xdr:colOff>6350</xdr:colOff>
                    <xdr:row>76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6" name="Button 7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77</xdr:row>
                    <xdr:rowOff>63500</xdr:rowOff>
                  </from>
                  <to>
                    <xdr:col>20</xdr:col>
                    <xdr:colOff>6350</xdr:colOff>
                    <xdr:row>77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7" name="Button 7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78</xdr:row>
                    <xdr:rowOff>63500</xdr:rowOff>
                  </from>
                  <to>
                    <xdr:col>20</xdr:col>
                    <xdr:colOff>6350</xdr:colOff>
                    <xdr:row>78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8" name="Button 7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79</xdr:row>
                    <xdr:rowOff>63500</xdr:rowOff>
                  </from>
                  <to>
                    <xdr:col>20</xdr:col>
                    <xdr:colOff>6350</xdr:colOff>
                    <xdr:row>79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79" name="Button 7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80</xdr:row>
                    <xdr:rowOff>63500</xdr:rowOff>
                  </from>
                  <to>
                    <xdr:col>20</xdr:col>
                    <xdr:colOff>6350</xdr:colOff>
                    <xdr:row>80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0" name="Button 7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81</xdr:row>
                    <xdr:rowOff>63500</xdr:rowOff>
                  </from>
                  <to>
                    <xdr:col>20</xdr:col>
                    <xdr:colOff>6350</xdr:colOff>
                    <xdr:row>81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1" name="Button 7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82</xdr:row>
                    <xdr:rowOff>63500</xdr:rowOff>
                  </from>
                  <to>
                    <xdr:col>20</xdr:col>
                    <xdr:colOff>6350</xdr:colOff>
                    <xdr:row>82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2" name="Button 8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83</xdr:row>
                    <xdr:rowOff>63500</xdr:rowOff>
                  </from>
                  <to>
                    <xdr:col>20</xdr:col>
                    <xdr:colOff>6350</xdr:colOff>
                    <xdr:row>83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3" name="Button 8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84</xdr:row>
                    <xdr:rowOff>63500</xdr:rowOff>
                  </from>
                  <to>
                    <xdr:col>20</xdr:col>
                    <xdr:colOff>6350</xdr:colOff>
                    <xdr:row>84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4" name="Button 8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85</xdr:row>
                    <xdr:rowOff>63500</xdr:rowOff>
                  </from>
                  <to>
                    <xdr:col>20</xdr:col>
                    <xdr:colOff>6350</xdr:colOff>
                    <xdr:row>85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5" name="Button 8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86</xdr:row>
                    <xdr:rowOff>63500</xdr:rowOff>
                  </from>
                  <to>
                    <xdr:col>20</xdr:col>
                    <xdr:colOff>6350</xdr:colOff>
                    <xdr:row>86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6" name="Button 8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87</xdr:row>
                    <xdr:rowOff>63500</xdr:rowOff>
                  </from>
                  <to>
                    <xdr:col>20</xdr:col>
                    <xdr:colOff>6350</xdr:colOff>
                    <xdr:row>87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7" name="Button 8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88</xdr:row>
                    <xdr:rowOff>63500</xdr:rowOff>
                  </from>
                  <to>
                    <xdr:col>20</xdr:col>
                    <xdr:colOff>6350</xdr:colOff>
                    <xdr:row>88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8" name="Button 8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89</xdr:row>
                    <xdr:rowOff>63500</xdr:rowOff>
                  </from>
                  <to>
                    <xdr:col>20</xdr:col>
                    <xdr:colOff>6350</xdr:colOff>
                    <xdr:row>89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89" name="Button 8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90</xdr:row>
                    <xdr:rowOff>63500</xdr:rowOff>
                  </from>
                  <to>
                    <xdr:col>20</xdr:col>
                    <xdr:colOff>6350</xdr:colOff>
                    <xdr:row>90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0" name="Button 8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91</xdr:row>
                    <xdr:rowOff>63500</xdr:rowOff>
                  </from>
                  <to>
                    <xdr:col>20</xdr:col>
                    <xdr:colOff>6350</xdr:colOff>
                    <xdr:row>91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1" name="Button 8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92</xdr:row>
                    <xdr:rowOff>63500</xdr:rowOff>
                  </from>
                  <to>
                    <xdr:col>20</xdr:col>
                    <xdr:colOff>6350</xdr:colOff>
                    <xdr:row>92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2" name="Button 9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93</xdr:row>
                    <xdr:rowOff>63500</xdr:rowOff>
                  </from>
                  <to>
                    <xdr:col>20</xdr:col>
                    <xdr:colOff>6350</xdr:colOff>
                    <xdr:row>93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3" name="Button 9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94</xdr:row>
                    <xdr:rowOff>63500</xdr:rowOff>
                  </from>
                  <to>
                    <xdr:col>20</xdr:col>
                    <xdr:colOff>6350</xdr:colOff>
                    <xdr:row>94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4" name="Button 9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95</xdr:row>
                    <xdr:rowOff>63500</xdr:rowOff>
                  </from>
                  <to>
                    <xdr:col>20</xdr:col>
                    <xdr:colOff>6350</xdr:colOff>
                    <xdr:row>95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5" name="Button 9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96</xdr:row>
                    <xdr:rowOff>63500</xdr:rowOff>
                  </from>
                  <to>
                    <xdr:col>20</xdr:col>
                    <xdr:colOff>6350</xdr:colOff>
                    <xdr:row>96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6" name="Button 9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97</xdr:row>
                    <xdr:rowOff>63500</xdr:rowOff>
                  </from>
                  <to>
                    <xdr:col>20</xdr:col>
                    <xdr:colOff>6350</xdr:colOff>
                    <xdr:row>97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7" name="Button 9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98</xdr:row>
                    <xdr:rowOff>63500</xdr:rowOff>
                  </from>
                  <to>
                    <xdr:col>20</xdr:col>
                    <xdr:colOff>6350</xdr:colOff>
                    <xdr:row>98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8" name="Button 9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99</xdr:row>
                    <xdr:rowOff>63500</xdr:rowOff>
                  </from>
                  <to>
                    <xdr:col>20</xdr:col>
                    <xdr:colOff>6350</xdr:colOff>
                    <xdr:row>99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99" name="Button 9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100</xdr:row>
                    <xdr:rowOff>63500</xdr:rowOff>
                  </from>
                  <to>
                    <xdr:col>20</xdr:col>
                    <xdr:colOff>6350</xdr:colOff>
                    <xdr:row>100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00" name="Button 9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101</xdr:row>
                    <xdr:rowOff>63500</xdr:rowOff>
                  </from>
                  <to>
                    <xdr:col>20</xdr:col>
                    <xdr:colOff>6350</xdr:colOff>
                    <xdr:row>101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Dashboard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Pieter 't Hoen</dc:creator>
  <cp:lastModifiedBy>Pieter 't Hoen</cp:lastModifiedBy>
  <dcterms:created xsi:type="dcterms:W3CDTF">2026-05-27T06:52:16Z</dcterms:created>
  <dcterms:modified xsi:type="dcterms:W3CDTF">2026-06-09T09:46:33Z</dcterms:modified>
</cp:coreProperties>
</file>